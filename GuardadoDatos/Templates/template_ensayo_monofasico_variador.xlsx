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105" yWindow="-15" windowWidth="11940" windowHeight="10095" tabRatio="541" activeTab="1"/>
  </bookViews>
  <sheets>
    <sheet name="Datos" sheetId="4" r:id="rId1"/>
    <sheet name="Informe" sheetId="1" r:id="rId2"/>
    <sheet name="Graficos" sheetId="3" r:id="rId3"/>
  </sheets>
  <calcPr calcId="125725"/>
</workbook>
</file>

<file path=xl/calcChain.xml><?xml version="1.0" encoding="utf-8"?>
<calcChain xmlns="http://schemas.openxmlformats.org/spreadsheetml/2006/main">
  <c r="C13" i="1"/>
  <c r="D13"/>
  <c r="D14" s="1"/>
  <c r="E13"/>
  <c r="E14" s="1"/>
  <c r="F13"/>
  <c r="F14" s="1"/>
  <c r="G13"/>
  <c r="H13"/>
  <c r="H14" s="1"/>
  <c r="I13"/>
  <c r="J13"/>
  <c r="K13"/>
  <c r="L13"/>
  <c r="L14" s="1"/>
  <c r="M13"/>
  <c r="M14" s="1"/>
  <c r="N13"/>
  <c r="N14" s="1"/>
  <c r="O13"/>
  <c r="P13"/>
  <c r="P14" s="1"/>
  <c r="Q13"/>
  <c r="Q14" s="1"/>
  <c r="R13"/>
  <c r="R14" s="1"/>
  <c r="S13"/>
  <c r="T13"/>
  <c r="U13"/>
  <c r="U14" s="1"/>
  <c r="V13"/>
  <c r="V14" s="1"/>
  <c r="W13"/>
  <c r="X13"/>
  <c r="X14" s="1"/>
  <c r="Y13"/>
  <c r="Y14" s="1"/>
  <c r="Z13"/>
  <c r="Z14" s="1"/>
  <c r="AA13"/>
  <c r="Z24"/>
  <c r="Y24"/>
  <c r="X24"/>
  <c r="Z21"/>
  <c r="Y21"/>
  <c r="X21"/>
  <c r="Z19"/>
  <c r="Y19"/>
  <c r="X19"/>
  <c r="X18"/>
  <c r="Z17"/>
  <c r="Z18" s="1"/>
  <c r="Y17"/>
  <c r="Y18" s="1"/>
  <c r="X17"/>
  <c r="Z16"/>
  <c r="Y16"/>
  <c r="X16"/>
  <c r="Z11"/>
  <c r="Y11"/>
  <c r="X11"/>
  <c r="W24"/>
  <c r="W21"/>
  <c r="W19"/>
  <c r="W17"/>
  <c r="W18" s="1"/>
  <c r="W16"/>
  <c r="W14"/>
  <c r="W11"/>
  <c r="V24"/>
  <c r="U24"/>
  <c r="V21"/>
  <c r="U21"/>
  <c r="V19"/>
  <c r="U19"/>
  <c r="V18"/>
  <c r="V17"/>
  <c r="U17"/>
  <c r="U18" s="1"/>
  <c r="V16"/>
  <c r="U16"/>
  <c r="V11"/>
  <c r="U11"/>
  <c r="I14"/>
  <c r="J14"/>
  <c r="T14"/>
  <c r="AA14"/>
  <c r="B13"/>
  <c r="B14" s="1"/>
  <c r="B16"/>
  <c r="I21"/>
  <c r="J21"/>
  <c r="K21"/>
  <c r="L21"/>
  <c r="M21"/>
  <c r="N21"/>
  <c r="O21"/>
  <c r="P21"/>
  <c r="Q21"/>
  <c r="H21"/>
  <c r="B32"/>
  <c r="AA29"/>
  <c r="AA28"/>
  <c r="AA27"/>
  <c r="AA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T21"/>
  <c r="S21"/>
  <c r="R21"/>
  <c r="G21"/>
  <c r="F21"/>
  <c r="E21"/>
  <c r="D21"/>
  <c r="C21"/>
  <c r="B21"/>
  <c r="AA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A17"/>
  <c r="T17"/>
  <c r="T18" s="1"/>
  <c r="S17"/>
  <c r="S18" s="1"/>
  <c r="R17"/>
  <c r="R18" s="1"/>
  <c r="AA16"/>
  <c r="T16"/>
  <c r="S16"/>
  <c r="R16"/>
  <c r="AA15"/>
  <c r="S14"/>
  <c r="O14"/>
  <c r="K14"/>
  <c r="G14"/>
  <c r="C14"/>
  <c r="AA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H5"/>
  <c r="H4"/>
  <c r="H3"/>
  <c r="B17" l="1"/>
  <c r="B18" s="1"/>
  <c r="H2"/>
  <c r="N15" l="1"/>
  <c r="W15"/>
  <c r="V15"/>
  <c r="X15"/>
  <c r="Y15"/>
  <c r="Z15"/>
  <c r="U15"/>
  <c r="E15"/>
  <c r="C15"/>
  <c r="C17"/>
  <c r="C18" s="1"/>
  <c r="C16"/>
  <c r="L15"/>
  <c r="S15"/>
  <c r="J15"/>
  <c r="Q15"/>
  <c r="H15"/>
  <c r="O15"/>
  <c r="F15"/>
  <c r="D15"/>
  <c r="T15"/>
  <c r="K15"/>
  <c r="B15"/>
  <c r="R15"/>
  <c r="M15"/>
  <c r="I15"/>
  <c r="P15"/>
  <c r="G15"/>
  <c r="D17" l="1"/>
  <c r="D18" s="1"/>
  <c r="D16"/>
  <c r="E17" l="1"/>
  <c r="E18" s="1"/>
  <c r="E16"/>
  <c r="F16" l="1"/>
  <c r="F17"/>
  <c r="F18" s="1"/>
  <c r="G16" l="1"/>
  <c r="G17"/>
  <c r="G18" s="1"/>
  <c r="H16" l="1"/>
  <c r="H17"/>
  <c r="H18" s="1"/>
  <c r="I16" l="1"/>
  <c r="I17"/>
  <c r="I18" s="1"/>
  <c r="J16" l="1"/>
  <c r="J17"/>
  <c r="J18" s="1"/>
  <c r="K16" l="1"/>
  <c r="K17"/>
  <c r="K18" s="1"/>
  <c r="L16" l="1"/>
  <c r="L17"/>
  <c r="L18" s="1"/>
  <c r="M16" l="1"/>
  <c r="M17"/>
  <c r="M18" s="1"/>
  <c r="N16" l="1"/>
  <c r="N17"/>
  <c r="N18" s="1"/>
  <c r="O16" l="1"/>
  <c r="O17"/>
  <c r="O18" s="1"/>
  <c r="P16" l="1"/>
  <c r="P17"/>
  <c r="P18" s="1"/>
  <c r="Q16" l="1"/>
  <c r="Q17"/>
  <c r="Q18" s="1"/>
</calcChain>
</file>

<file path=xl/comments1.xml><?xml version="1.0" encoding="utf-8"?>
<comments xmlns="http://schemas.openxmlformats.org/spreadsheetml/2006/main">
  <authors>
    <author/>
  </authors>
  <commentList>
    <comment ref="A16" authorId="0">
      <text>
        <r>
          <rPr>
            <sz val="10"/>
            <rFont val="Arial"/>
            <family val="2"/>
          </rPr>
          <t>scavicchioli:</t>
        </r>
      </text>
    </comment>
  </commentList>
</comments>
</file>

<file path=xl/sharedStrings.xml><?xml version="1.0" encoding="utf-8"?>
<sst xmlns="http://schemas.openxmlformats.org/spreadsheetml/2006/main" count="67" uniqueCount="66">
  <si>
    <t>Diametro de la turbina (mm)</t>
  </si>
  <si>
    <t xml:space="preserve">Caudal </t>
  </si>
  <si>
    <t>Ps-Pe</t>
  </si>
  <si>
    <t>rpm</t>
  </si>
  <si>
    <t>Pot. Efectiva</t>
  </si>
  <si>
    <t>Rend. Turbina</t>
  </si>
  <si>
    <t>Hora de inicio</t>
  </si>
  <si>
    <t xml:space="preserve">Hora de finalización </t>
  </si>
  <si>
    <t>Pasos</t>
  </si>
  <si>
    <t>Espiras</t>
  </si>
  <si>
    <r>
      <t>Esp/Volt Bp</t>
    </r>
    <r>
      <rPr>
        <sz val="10"/>
        <rFont val="Arial"/>
        <family val="2"/>
      </rPr>
      <t>:</t>
    </r>
  </si>
  <si>
    <t>Resist. Fase R inicial</t>
  </si>
  <si>
    <t>Resist. Fase S inicial</t>
  </si>
  <si>
    <t>Resist. Fase T inicial</t>
  </si>
  <si>
    <t>Resist. Fase R final</t>
  </si>
  <si>
    <t>Resist. Fase S final</t>
  </si>
  <si>
    <t>Resist. Fase T final</t>
  </si>
  <si>
    <t>Resist. Prom. R</t>
  </si>
  <si>
    <t>Resist. Prom. S</t>
  </si>
  <si>
    <t>Resist. Prom. T</t>
  </si>
  <si>
    <t>Diametro alambre (mm)</t>
  </si>
  <si>
    <t>Ángulo φr</t>
  </si>
  <si>
    <t>Bobinado por fase</t>
  </si>
  <si>
    <t>Resbalamiento</t>
  </si>
  <si>
    <r>
      <t>Temp. Amb. inicial (</t>
    </r>
    <r>
      <rPr>
        <sz val="8"/>
        <rFont val="Calibri"/>
        <family val="2"/>
      </rPr>
      <t>°</t>
    </r>
    <r>
      <rPr>
        <sz val="8"/>
        <rFont val="Arial"/>
        <family val="2"/>
      </rPr>
      <t>C)</t>
    </r>
  </si>
  <si>
    <r>
      <t>Temp. Amb. final (</t>
    </r>
    <r>
      <rPr>
        <sz val="8"/>
        <rFont val="Calibri"/>
        <family val="2"/>
      </rPr>
      <t>°</t>
    </r>
    <r>
      <rPr>
        <sz val="8"/>
        <rFont val="Arial"/>
        <family val="2"/>
      </rPr>
      <t>C)</t>
    </r>
  </si>
  <si>
    <t>Temp. agua inicial (°C)</t>
  </si>
  <si>
    <t>Temp. agua final (°C)</t>
  </si>
  <si>
    <t>Temp. final del bob.fase R (°C)</t>
  </si>
  <si>
    <t>Temp. final del bob.fase S (°C)</t>
  </si>
  <si>
    <t>Temp. final del bob.fase T (°C)</t>
  </si>
  <si>
    <t>Pérd. Mec.+Pérd.Fe (en vacío a Un)</t>
  </si>
  <si>
    <t>Dens. I fase (prom)</t>
  </si>
  <si>
    <t>Cosen φ (prom)</t>
  </si>
  <si>
    <t>Resist. Fase (prom)</t>
  </si>
  <si>
    <t>Pcu total</t>
  </si>
  <si>
    <t>Frecuencia (Hz)</t>
  </si>
  <si>
    <t>Rendimiento</t>
  </si>
  <si>
    <t>I var. Janitza</t>
  </si>
  <si>
    <t>Cos φ (Var. Janitza)</t>
  </si>
  <si>
    <t xml:space="preserve"> </t>
  </si>
  <si>
    <t>Pot. Var.</t>
  </si>
  <si>
    <t>Parámetros</t>
  </si>
  <si>
    <t>Dif. Psal-Pent</t>
  </si>
  <si>
    <t>Dif Pot Total</t>
  </si>
  <si>
    <t>Dif. I Línea</t>
  </si>
  <si>
    <t>Rend1/Rend2</t>
  </si>
  <si>
    <t>Dif. RPM</t>
  </si>
  <si>
    <t>RT1/RT2</t>
  </si>
  <si>
    <t>Dif. I Motor</t>
  </si>
  <si>
    <t>I motor A (display)</t>
  </si>
  <si>
    <t>I motor B (display)</t>
  </si>
  <si>
    <t>Tipo de ensayo</t>
  </si>
  <si>
    <t>Motor</t>
  </si>
  <si>
    <t>Bobinado</t>
  </si>
  <si>
    <t>Turbina</t>
  </si>
  <si>
    <t>Caracol</t>
  </si>
  <si>
    <t>Variador</t>
  </si>
  <si>
    <t>Tension
[V]</t>
  </si>
  <si>
    <t>Frecuencia
[Hz]</t>
  </si>
  <si>
    <t>Version soft</t>
  </si>
  <si>
    <t>Detalle</t>
  </si>
  <si>
    <t>EN FRIO</t>
  </si>
  <si>
    <t xml:space="preserve">Tensión </t>
  </si>
  <si>
    <t>Diametro Turbina [mm]</t>
  </si>
  <si>
    <t>Control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</si>
</sst>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5"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9"/>
      <color rgb="FFFF000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3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indexed="22"/>
      </patternFill>
    </fill>
    <fill>
      <patternFill patternType="solid">
        <fgColor theme="6" tint="0.79998168889431442"/>
        <bgColor indexed="31"/>
      </patternFill>
    </fill>
    <fill>
      <patternFill patternType="solid">
        <fgColor theme="6" tint="0.79998168889431442"/>
        <bgColor indexed="42"/>
      </patternFill>
    </fill>
    <fill>
      <patternFill patternType="solid">
        <fgColor theme="5" tint="0.79998168889431442"/>
        <bgColor indexed="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42"/>
      </patternFill>
    </fill>
    <fill>
      <patternFill patternType="solid">
        <fgColor theme="5" tint="0.79998168889431442"/>
        <bgColor indexed="31"/>
      </patternFill>
    </fill>
    <fill>
      <patternFill patternType="solid">
        <fgColor theme="5" tint="0.39997558519241921"/>
        <bgColor indexed="31"/>
      </patternFill>
    </fill>
    <fill>
      <patternFill patternType="solid">
        <fgColor theme="5" tint="0.39997558519241921"/>
        <bgColor indexed="55"/>
      </patternFill>
    </fill>
    <fill>
      <patternFill patternType="solid">
        <fgColor theme="6" tint="0.59999389629810485"/>
        <bgColor indexed="5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indexed="8"/>
      </left>
      <right/>
      <top style="thick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00">
    <xf numFmtId="0" fontId="0" fillId="0" borderId="0" xfId="0"/>
    <xf numFmtId="22" fontId="0" fillId="0" borderId="0" xfId="0" applyNumberFormat="1"/>
    <xf numFmtId="21" fontId="0" fillId="0" borderId="0" xfId="0" applyNumberFormat="1"/>
    <xf numFmtId="0" fontId="0" fillId="2" borderId="0" xfId="2" applyFont="1" applyFill="1"/>
    <xf numFmtId="0" fontId="7" fillId="2" borderId="0" xfId="2" applyFill="1"/>
    <xf numFmtId="0" fontId="7" fillId="2" borderId="0" xfId="1" applyFill="1"/>
    <xf numFmtId="0" fontId="1" fillId="3" borderId="4" xfId="2" applyFont="1" applyFill="1" applyBorder="1" applyAlignment="1">
      <alignment horizontal="center" vertical="center" wrapText="1"/>
    </xf>
    <xf numFmtId="166" fontId="0" fillId="2" borderId="5" xfId="0" applyNumberFormat="1" applyFill="1" applyBorder="1" applyAlignment="1">
      <alignment horizontal="center" vertical="center"/>
    </xf>
    <xf numFmtId="2" fontId="7" fillId="4" borderId="4" xfId="1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4" borderId="5" xfId="2" applyFill="1" applyBorder="1" applyAlignment="1">
      <alignment horizontal="center" vertical="center"/>
    </xf>
    <xf numFmtId="0" fontId="7" fillId="2" borderId="11" xfId="2" applyFill="1" applyBorder="1"/>
    <xf numFmtId="0" fontId="8" fillId="2" borderId="0" xfId="2" applyFont="1" applyFill="1" applyBorder="1" applyAlignment="1">
      <alignment vertical="center"/>
    </xf>
    <xf numFmtId="20" fontId="1" fillId="2" borderId="0" xfId="2" applyNumberFormat="1" applyFont="1" applyFill="1" applyBorder="1" applyAlignment="1">
      <alignment horizontal="center" vertical="center" wrapText="1"/>
    </xf>
    <xf numFmtId="2" fontId="1" fillId="2" borderId="0" xfId="2" applyNumberFormat="1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center" vertical="center"/>
    </xf>
    <xf numFmtId="0" fontId="7" fillId="2" borderId="0" xfId="2" applyFill="1" applyBorder="1"/>
    <xf numFmtId="0" fontId="7" fillId="2" borderId="12" xfId="2" applyFill="1" applyBorder="1"/>
    <xf numFmtId="0" fontId="5" fillId="2" borderId="0" xfId="2" applyFont="1" applyFill="1" applyAlignment="1">
      <alignment horizontal="center" vertical="center"/>
    </xf>
    <xf numFmtId="2" fontId="1" fillId="2" borderId="13" xfId="2" applyNumberFormat="1" applyFont="1" applyFill="1" applyBorder="1" applyAlignment="1">
      <alignment horizontal="center" vertical="center" wrapText="1"/>
    </xf>
    <xf numFmtId="0" fontId="0" fillId="2" borderId="13" xfId="2" applyFont="1" applyFill="1" applyBorder="1" applyAlignment="1">
      <alignment horizontal="center" vertical="center"/>
    </xf>
    <xf numFmtId="0" fontId="7" fillId="2" borderId="13" xfId="2" applyFill="1" applyBorder="1" applyAlignment="1">
      <alignment horizontal="center" vertical="center"/>
    </xf>
    <xf numFmtId="2" fontId="2" fillId="3" borderId="21" xfId="2" applyNumberFormat="1" applyFont="1" applyFill="1" applyBorder="1" applyAlignment="1">
      <alignment horizontal="center" vertical="center"/>
    </xf>
    <xf numFmtId="2" fontId="7" fillId="2" borderId="0" xfId="2" applyNumberFormat="1" applyFill="1"/>
    <xf numFmtId="166" fontId="3" fillId="5" borderId="30" xfId="2" applyNumberFormat="1" applyFont="1" applyFill="1" applyBorder="1" applyAlignment="1">
      <alignment horizontal="center" vertical="center"/>
    </xf>
    <xf numFmtId="1" fontId="9" fillId="3" borderId="24" xfId="1" applyNumberFormat="1" applyFont="1" applyFill="1" applyBorder="1" applyAlignment="1">
      <alignment horizontal="center" vertical="center"/>
    </xf>
    <xf numFmtId="1" fontId="9" fillId="3" borderId="14" xfId="1" applyNumberFormat="1" applyFont="1" applyFill="1" applyBorder="1" applyAlignment="1">
      <alignment horizontal="center" vertical="center"/>
    </xf>
    <xf numFmtId="2" fontId="2" fillId="5" borderId="14" xfId="1" applyNumberFormat="1" applyFont="1" applyFill="1" applyBorder="1" applyAlignment="1">
      <alignment horizontal="center" vertical="center"/>
    </xf>
    <xf numFmtId="2" fontId="3" fillId="3" borderId="30" xfId="1" applyNumberFormat="1" applyFont="1" applyFill="1" applyBorder="1" applyAlignment="1">
      <alignment horizontal="center" vertical="center"/>
    </xf>
    <xf numFmtId="1" fontId="9" fillId="5" borderId="24" xfId="2" applyNumberFormat="1" applyFont="1" applyFill="1" applyBorder="1" applyAlignment="1">
      <alignment horizontal="center" vertical="center"/>
    </xf>
    <xf numFmtId="1" fontId="9" fillId="5" borderId="14" xfId="2" applyNumberFormat="1" applyFont="1" applyFill="1" applyBorder="1" applyAlignment="1">
      <alignment horizontal="center" vertical="center"/>
    </xf>
    <xf numFmtId="1" fontId="9" fillId="5" borderId="8" xfId="2" applyNumberFormat="1" applyFont="1" applyFill="1" applyBorder="1" applyAlignment="1">
      <alignment horizontal="center" vertical="center"/>
    </xf>
    <xf numFmtId="1" fontId="9" fillId="5" borderId="15" xfId="2" applyNumberFormat="1" applyFont="1" applyFill="1" applyBorder="1" applyAlignment="1">
      <alignment horizontal="center" vertical="center"/>
    </xf>
    <xf numFmtId="164" fontId="2" fillId="5" borderId="8" xfId="2" applyNumberFormat="1" applyFont="1" applyFill="1" applyBorder="1" applyAlignment="1">
      <alignment horizontal="center" vertical="center"/>
    </xf>
    <xf numFmtId="2" fontId="2" fillId="3" borderId="8" xfId="1" applyNumberFormat="1" applyFont="1" applyFill="1" applyBorder="1" applyAlignment="1">
      <alignment horizontal="center" vertical="center"/>
    </xf>
    <xf numFmtId="0" fontId="10" fillId="2" borderId="0" xfId="2" applyFont="1" applyFill="1"/>
    <xf numFmtId="0" fontId="5" fillId="2" borderId="0" xfId="2" applyFont="1" applyFill="1" applyBorder="1"/>
    <xf numFmtId="164" fontId="7" fillId="4" borderId="0" xfId="2" applyNumberFormat="1" applyFill="1" applyBorder="1" applyAlignment="1">
      <alignment horizontal="center" vertical="center"/>
    </xf>
    <xf numFmtId="0" fontId="1" fillId="3" borderId="6" xfId="2" applyFont="1" applyFill="1" applyBorder="1" applyAlignment="1">
      <alignment horizontal="center" vertical="center" wrapText="1"/>
    </xf>
    <xf numFmtId="0" fontId="1" fillId="3" borderId="9" xfId="2" applyFont="1" applyFill="1" applyBorder="1" applyAlignment="1">
      <alignment horizontal="center" vertical="center" wrapText="1"/>
    </xf>
    <xf numFmtId="20" fontId="7" fillId="2" borderId="0" xfId="2" applyNumberFormat="1" applyFill="1"/>
    <xf numFmtId="0" fontId="7" fillId="2" borderId="0" xfId="2" applyFont="1" applyFill="1" applyBorder="1" applyAlignment="1">
      <alignment horizontal="center"/>
    </xf>
    <xf numFmtId="0" fontId="7" fillId="2" borderId="0" xfId="2" applyFill="1" applyBorder="1" applyAlignment="1">
      <alignment horizontal="center"/>
    </xf>
    <xf numFmtId="0" fontId="7" fillId="2" borderId="0" xfId="2" applyFill="1" applyAlignment="1">
      <alignment horizontal="center" vertical="center"/>
    </xf>
    <xf numFmtId="0" fontId="5" fillId="2" borderId="0" xfId="2" applyFont="1" applyFill="1" applyAlignment="1">
      <alignment horizontal="left" vertical="center"/>
    </xf>
    <xf numFmtId="164" fontId="0" fillId="2" borderId="0" xfId="2" applyNumberFormat="1" applyFont="1" applyFill="1" applyAlignment="1">
      <alignment horizontal="center" vertical="center"/>
    </xf>
    <xf numFmtId="164" fontId="5" fillId="2" borderId="0" xfId="2" applyNumberFormat="1" applyFont="1" applyFill="1" applyAlignment="1">
      <alignment horizontal="center" vertical="center"/>
    </xf>
    <xf numFmtId="1" fontId="0" fillId="2" borderId="0" xfId="2" applyNumberFormat="1" applyFont="1" applyFill="1" applyAlignment="1">
      <alignment horizontal="center" vertical="center"/>
    </xf>
    <xf numFmtId="1" fontId="5" fillId="2" borderId="0" xfId="2" applyNumberFormat="1" applyFont="1" applyFill="1" applyAlignment="1">
      <alignment horizontal="center" vertical="center"/>
    </xf>
    <xf numFmtId="2" fontId="0" fillId="2" borderId="0" xfId="2" applyNumberFormat="1" applyFont="1" applyFill="1" applyAlignment="1">
      <alignment horizontal="center" vertical="center"/>
    </xf>
    <xf numFmtId="2" fontId="5" fillId="2" borderId="0" xfId="2" applyNumberFormat="1" applyFont="1" applyFill="1" applyAlignment="1">
      <alignment horizontal="center" vertical="center"/>
    </xf>
    <xf numFmtId="2" fontId="7" fillId="2" borderId="0" xfId="2" applyNumberFormat="1" applyFill="1" applyAlignment="1">
      <alignment horizontal="center" vertical="center"/>
    </xf>
    <xf numFmtId="1" fontId="7" fillId="2" borderId="0" xfId="2" applyNumberFormat="1" applyFill="1" applyAlignment="1">
      <alignment horizontal="center" vertical="center"/>
    </xf>
    <xf numFmtId="2" fontId="0" fillId="6" borderId="5" xfId="0" applyNumberFormat="1" applyFill="1" applyBorder="1" applyAlignment="1">
      <alignment horizontal="center" vertical="center"/>
    </xf>
    <xf numFmtId="2" fontId="7" fillId="7" borderId="4" xfId="1" applyNumberFormat="1" applyFill="1" applyBorder="1" applyAlignment="1">
      <alignment horizontal="center" vertical="center"/>
    </xf>
    <xf numFmtId="2" fontId="7" fillId="8" borderId="5" xfId="2" applyNumberFormat="1" applyFill="1" applyBorder="1" applyAlignment="1">
      <alignment horizontal="center" vertical="center"/>
    </xf>
    <xf numFmtId="2" fontId="7" fillId="8" borderId="6" xfId="2" applyNumberFormat="1" applyFill="1" applyBorder="1" applyAlignment="1">
      <alignment horizontal="center" vertical="center"/>
    </xf>
    <xf numFmtId="2" fontId="7" fillId="7" borderId="6" xfId="2" applyNumberFormat="1" applyFill="1" applyBorder="1" applyAlignment="1">
      <alignment horizontal="center" vertical="center"/>
    </xf>
    <xf numFmtId="164" fontId="7" fillId="7" borderId="5" xfId="2" applyNumberFormat="1" applyFill="1" applyBorder="1" applyAlignment="1">
      <alignment horizontal="center" vertical="center"/>
    </xf>
    <xf numFmtId="164" fontId="7" fillId="7" borderId="6" xfId="2" applyNumberFormat="1" applyFill="1" applyBorder="1" applyAlignment="1">
      <alignment horizontal="center" vertical="center"/>
    </xf>
    <xf numFmtId="0" fontId="3" fillId="9" borderId="27" xfId="1" applyFont="1" applyFill="1" applyBorder="1" applyAlignment="1">
      <alignment horizontal="center" vertical="center"/>
    </xf>
    <xf numFmtId="0" fontId="3" fillId="9" borderId="23" xfId="1" applyFont="1" applyFill="1" applyBorder="1" applyAlignment="1">
      <alignment horizontal="center" vertical="center"/>
    </xf>
    <xf numFmtId="0" fontId="7" fillId="6" borderId="29" xfId="2" applyFill="1" applyBorder="1" applyAlignment="1">
      <alignment horizontal="center" vertical="center"/>
    </xf>
    <xf numFmtId="164" fontId="3" fillId="9" borderId="24" xfId="2" applyNumberFormat="1" applyFont="1" applyFill="1" applyBorder="1" applyAlignment="1">
      <alignment horizontal="center" vertical="center"/>
    </xf>
    <xf numFmtId="164" fontId="3" fillId="9" borderId="14" xfId="2" applyNumberFormat="1" applyFont="1" applyFill="1" applyBorder="1" applyAlignment="1">
      <alignment horizontal="center" vertical="center"/>
    </xf>
    <xf numFmtId="164" fontId="3" fillId="9" borderId="8" xfId="2" applyNumberFormat="1" applyFont="1" applyFill="1" applyBorder="1" applyAlignment="1">
      <alignment horizontal="center" vertical="center"/>
    </xf>
    <xf numFmtId="164" fontId="3" fillId="9" borderId="15" xfId="2" applyNumberFormat="1" applyFont="1" applyFill="1" applyBorder="1" applyAlignment="1">
      <alignment horizontal="center" vertical="center"/>
    </xf>
    <xf numFmtId="164" fontId="3" fillId="9" borderId="30" xfId="2" applyNumberFormat="1" applyFont="1" applyFill="1" applyBorder="1" applyAlignment="1">
      <alignment horizontal="center" vertical="center"/>
    </xf>
    <xf numFmtId="1" fontId="3" fillId="9" borderId="24" xfId="2" applyNumberFormat="1" applyFont="1" applyFill="1" applyBorder="1" applyAlignment="1">
      <alignment horizontal="center" vertical="center"/>
    </xf>
    <xf numFmtId="1" fontId="3" fillId="9" borderId="14" xfId="2" applyNumberFormat="1" applyFont="1" applyFill="1" applyBorder="1" applyAlignment="1">
      <alignment horizontal="center" vertical="center"/>
    </xf>
    <xf numFmtId="1" fontId="3" fillId="9" borderId="8" xfId="2" applyNumberFormat="1" applyFont="1" applyFill="1" applyBorder="1" applyAlignment="1">
      <alignment horizontal="center" vertical="center"/>
    </xf>
    <xf numFmtId="1" fontId="3" fillId="9" borderId="15" xfId="2" applyNumberFormat="1" applyFont="1" applyFill="1" applyBorder="1" applyAlignment="1">
      <alignment horizontal="center" vertical="center"/>
    </xf>
    <xf numFmtId="0" fontId="3" fillId="9" borderId="30" xfId="2" applyNumberFormat="1" applyFont="1" applyFill="1" applyBorder="1" applyAlignment="1">
      <alignment horizontal="center" vertical="center"/>
    </xf>
    <xf numFmtId="2" fontId="3" fillId="9" borderId="24" xfId="2" applyNumberFormat="1" applyFont="1" applyFill="1" applyBorder="1" applyAlignment="1">
      <alignment horizontal="center" vertical="center"/>
    </xf>
    <xf numFmtId="2" fontId="3" fillId="9" borderId="14" xfId="2" applyNumberFormat="1" applyFont="1" applyFill="1" applyBorder="1" applyAlignment="1">
      <alignment horizontal="center" vertical="center"/>
    </xf>
    <xf numFmtId="2" fontId="3" fillId="9" borderId="8" xfId="2" applyNumberFormat="1" applyFont="1" applyFill="1" applyBorder="1" applyAlignment="1">
      <alignment horizontal="center" vertical="center"/>
    </xf>
    <xf numFmtId="2" fontId="3" fillId="9" borderId="15" xfId="2" applyNumberFormat="1" applyFont="1" applyFill="1" applyBorder="1" applyAlignment="1">
      <alignment horizontal="center" vertical="center"/>
    </xf>
    <xf numFmtId="2" fontId="3" fillId="9" borderId="30" xfId="2" applyNumberFormat="1" applyFont="1" applyFill="1" applyBorder="1" applyAlignment="1">
      <alignment horizontal="center" vertical="center"/>
    </xf>
    <xf numFmtId="0" fontId="2" fillId="9" borderId="21" xfId="2" applyFont="1" applyFill="1" applyBorder="1" applyAlignment="1">
      <alignment horizontal="center" vertical="center"/>
    </xf>
    <xf numFmtId="0" fontId="2" fillId="10" borderId="21" xfId="2" applyFont="1" applyFill="1" applyBorder="1" applyAlignment="1">
      <alignment horizontal="center" vertical="center"/>
    </xf>
    <xf numFmtId="2" fontId="3" fillId="10" borderId="24" xfId="2" applyNumberFormat="1" applyFont="1" applyFill="1" applyBorder="1" applyAlignment="1">
      <alignment horizontal="center" vertical="center"/>
    </xf>
    <xf numFmtId="2" fontId="3" fillId="10" borderId="14" xfId="2" applyNumberFormat="1" applyFont="1" applyFill="1" applyBorder="1" applyAlignment="1">
      <alignment horizontal="center" vertical="center"/>
    </xf>
    <xf numFmtId="2" fontId="3" fillId="10" borderId="8" xfId="2" applyNumberFormat="1" applyFont="1" applyFill="1" applyBorder="1" applyAlignment="1">
      <alignment horizontal="center" vertical="center"/>
    </xf>
    <xf numFmtId="2" fontId="3" fillId="10" borderId="15" xfId="2" applyNumberFormat="1" applyFont="1" applyFill="1" applyBorder="1" applyAlignment="1">
      <alignment horizontal="center" vertical="center"/>
    </xf>
    <xf numFmtId="2" fontId="3" fillId="10" borderId="30" xfId="2" applyNumberFormat="1" applyFont="1" applyFill="1" applyBorder="1" applyAlignment="1">
      <alignment horizontal="center" vertical="center"/>
    </xf>
    <xf numFmtId="0" fontId="2" fillId="6" borderId="32" xfId="2" applyFont="1" applyFill="1" applyBorder="1" applyAlignment="1">
      <alignment horizontal="center" vertical="center"/>
    </xf>
    <xf numFmtId="2" fontId="7" fillId="6" borderId="14" xfId="2" applyNumberFormat="1" applyFill="1" applyBorder="1" applyAlignment="1">
      <alignment horizontal="center" vertical="center"/>
    </xf>
    <xf numFmtId="2" fontId="7" fillId="6" borderId="8" xfId="2" applyNumberFormat="1" applyFill="1" applyBorder="1" applyAlignment="1">
      <alignment horizontal="center" vertical="center"/>
    </xf>
    <xf numFmtId="2" fontId="7" fillId="6" borderId="15" xfId="2" applyNumberFormat="1" applyFill="1" applyBorder="1" applyAlignment="1">
      <alignment horizontal="center" vertical="center"/>
    </xf>
    <xf numFmtId="2" fontId="3" fillId="8" borderId="14" xfId="1" applyNumberFormat="1" applyFont="1" applyFill="1" applyBorder="1" applyAlignment="1">
      <alignment horizontal="center" vertical="center"/>
    </xf>
    <xf numFmtId="2" fontId="3" fillId="8" borderId="30" xfId="1" applyNumberFormat="1" applyFont="1" applyFill="1" applyBorder="1" applyAlignment="1">
      <alignment horizontal="center" vertical="center"/>
    </xf>
    <xf numFmtId="2" fontId="2" fillId="9" borderId="21" xfId="2" applyNumberFormat="1" applyFont="1" applyFill="1" applyBorder="1" applyAlignment="1">
      <alignment horizontal="center" vertical="center"/>
    </xf>
    <xf numFmtId="0" fontId="2" fillId="12" borderId="21" xfId="2" applyFont="1" applyFill="1" applyBorder="1" applyAlignment="1">
      <alignment horizontal="center" vertical="center"/>
    </xf>
    <xf numFmtId="2" fontId="3" fillId="12" borderId="24" xfId="2" applyNumberFormat="1" applyFont="1" applyFill="1" applyBorder="1" applyAlignment="1">
      <alignment horizontal="center" vertical="center"/>
    </xf>
    <xf numFmtId="2" fontId="3" fillId="12" borderId="14" xfId="2" applyNumberFormat="1" applyFont="1" applyFill="1" applyBorder="1" applyAlignment="1">
      <alignment horizontal="center" vertical="center"/>
    </xf>
    <xf numFmtId="2" fontId="3" fillId="12" borderId="8" xfId="2" applyNumberFormat="1" applyFont="1" applyFill="1" applyBorder="1" applyAlignment="1">
      <alignment horizontal="center" vertical="center"/>
    </xf>
    <xf numFmtId="2" fontId="3" fillId="12" borderId="15" xfId="2" applyNumberFormat="1" applyFont="1" applyFill="1" applyBorder="1" applyAlignment="1">
      <alignment horizontal="center" vertical="center"/>
    </xf>
    <xf numFmtId="2" fontId="3" fillId="12" borderId="30" xfId="2" applyNumberFormat="1" applyFont="1" applyFill="1" applyBorder="1" applyAlignment="1">
      <alignment horizontal="center" vertical="center"/>
    </xf>
    <xf numFmtId="2" fontId="7" fillId="11" borderId="33" xfId="2" applyNumberFormat="1" applyFill="1" applyBorder="1" applyAlignment="1">
      <alignment horizontal="center" vertical="center"/>
    </xf>
    <xf numFmtId="2" fontId="7" fillId="11" borderId="14" xfId="2" applyNumberFormat="1" applyFill="1" applyBorder="1" applyAlignment="1">
      <alignment horizontal="center" vertical="center"/>
    </xf>
    <xf numFmtId="2" fontId="3" fillId="13" borderId="8" xfId="1" applyNumberFormat="1" applyFont="1" applyFill="1" applyBorder="1" applyAlignment="1">
      <alignment horizontal="center" vertical="center"/>
    </xf>
    <xf numFmtId="2" fontId="3" fillId="13" borderId="14" xfId="1" applyNumberFormat="1" applyFont="1" applyFill="1" applyBorder="1" applyAlignment="1">
      <alignment horizontal="center" vertical="center"/>
    </xf>
    <xf numFmtId="2" fontId="3" fillId="13" borderId="30" xfId="1" applyNumberFormat="1" applyFont="1" applyFill="1" applyBorder="1" applyAlignment="1">
      <alignment horizontal="center" vertical="center"/>
    </xf>
    <xf numFmtId="2" fontId="3" fillId="13" borderId="24" xfId="1" applyNumberFormat="1" applyFont="1" applyFill="1" applyBorder="1" applyAlignment="1">
      <alignment horizontal="center" vertical="center"/>
    </xf>
    <xf numFmtId="2" fontId="3" fillId="13" borderId="15" xfId="1" applyNumberFormat="1" applyFont="1" applyFill="1" applyBorder="1" applyAlignment="1">
      <alignment horizontal="center" vertical="center"/>
    </xf>
    <xf numFmtId="2" fontId="2" fillId="10" borderId="21" xfId="2" applyNumberFormat="1" applyFont="1" applyFill="1" applyBorder="1" applyAlignment="1">
      <alignment horizontal="center" vertical="center"/>
    </xf>
    <xf numFmtId="166" fontId="3" fillId="13" borderId="24" xfId="2" applyNumberFormat="1" applyFont="1" applyFill="1" applyBorder="1" applyAlignment="1">
      <alignment horizontal="center" vertical="center"/>
    </xf>
    <xf numFmtId="166" fontId="3" fillId="13" borderId="14" xfId="2" applyNumberFormat="1" applyFont="1" applyFill="1" applyBorder="1" applyAlignment="1">
      <alignment horizontal="center" vertical="center"/>
    </xf>
    <xf numFmtId="166" fontId="3" fillId="13" borderId="8" xfId="2" applyNumberFormat="1" applyFont="1" applyFill="1" applyBorder="1" applyAlignment="1">
      <alignment horizontal="center" vertical="center"/>
    </xf>
    <xf numFmtId="166" fontId="3" fillId="13" borderId="15" xfId="2" applyNumberFormat="1" applyFont="1" applyFill="1" applyBorder="1" applyAlignment="1">
      <alignment horizontal="center" vertical="center"/>
    </xf>
    <xf numFmtId="166" fontId="3" fillId="13" borderId="30" xfId="2" applyNumberFormat="1" applyFont="1" applyFill="1" applyBorder="1" applyAlignment="1">
      <alignment horizontal="center" vertical="center"/>
    </xf>
    <xf numFmtId="164" fontId="7" fillId="13" borderId="26" xfId="1" applyNumberFormat="1" applyFill="1" applyBorder="1" applyAlignment="1">
      <alignment horizontal="center" vertical="center"/>
    </xf>
    <xf numFmtId="164" fontId="7" fillId="13" borderId="14" xfId="1" applyNumberFormat="1" applyFill="1" applyBorder="1" applyAlignment="1">
      <alignment horizontal="center" vertical="center"/>
    </xf>
    <xf numFmtId="164" fontId="7" fillId="13" borderId="8" xfId="1" applyNumberFormat="1" applyFill="1" applyBorder="1" applyAlignment="1">
      <alignment horizontal="center" vertical="center"/>
    </xf>
    <xf numFmtId="164" fontId="7" fillId="13" borderId="15" xfId="1" applyNumberFormat="1" applyFill="1" applyBorder="1" applyAlignment="1">
      <alignment horizontal="center" vertical="center"/>
    </xf>
    <xf numFmtId="164" fontId="7" fillId="13" borderId="30" xfId="1" applyNumberFormat="1" applyFill="1" applyBorder="1" applyAlignment="1">
      <alignment horizontal="center" vertical="center"/>
    </xf>
    <xf numFmtId="0" fontId="5" fillId="11" borderId="21" xfId="2" applyFont="1" applyFill="1" applyBorder="1" applyAlignment="1">
      <alignment horizontal="center" vertical="center"/>
    </xf>
    <xf numFmtId="165" fontId="7" fillId="11" borderId="24" xfId="2" applyNumberFormat="1" applyFill="1" applyBorder="1" applyAlignment="1">
      <alignment horizontal="center" vertical="center"/>
    </xf>
    <xf numFmtId="165" fontId="7" fillId="11" borderId="14" xfId="2" applyNumberFormat="1" applyFill="1" applyBorder="1" applyAlignment="1">
      <alignment horizontal="center" vertical="center"/>
    </xf>
    <xf numFmtId="165" fontId="7" fillId="11" borderId="8" xfId="2" applyNumberFormat="1" applyFill="1" applyBorder="1" applyAlignment="1">
      <alignment horizontal="center" vertical="center"/>
    </xf>
    <xf numFmtId="165" fontId="7" fillId="11" borderId="15" xfId="2" applyNumberFormat="1" applyFill="1" applyBorder="1" applyAlignment="1">
      <alignment horizontal="center" vertical="center"/>
    </xf>
    <xf numFmtId="165" fontId="7" fillId="11" borderId="30" xfId="2" applyNumberFormat="1" applyFill="1" applyBorder="1" applyAlignment="1">
      <alignment horizontal="center" vertical="center"/>
    </xf>
    <xf numFmtId="10" fontId="3" fillId="14" borderId="24" xfId="1" applyNumberFormat="1" applyFont="1" applyFill="1" applyBorder="1" applyAlignment="1">
      <alignment horizontal="center" vertical="center"/>
    </xf>
    <xf numFmtId="10" fontId="3" fillId="14" borderId="14" xfId="1" applyNumberFormat="1" applyFont="1" applyFill="1" applyBorder="1" applyAlignment="1">
      <alignment horizontal="center" vertical="center"/>
    </xf>
    <xf numFmtId="10" fontId="3" fillId="14" borderId="8" xfId="1" applyNumberFormat="1" applyFont="1" applyFill="1" applyBorder="1" applyAlignment="1">
      <alignment horizontal="center" vertical="center"/>
    </xf>
    <xf numFmtId="10" fontId="3" fillId="14" borderId="15" xfId="1" applyNumberFormat="1" applyFont="1" applyFill="1" applyBorder="1" applyAlignment="1">
      <alignment horizontal="center" vertical="center"/>
    </xf>
    <xf numFmtId="164" fontId="3" fillId="14" borderId="30" xfId="1" applyNumberFormat="1" applyFont="1" applyFill="1" applyBorder="1" applyAlignment="1">
      <alignment horizontal="center" vertical="center"/>
    </xf>
    <xf numFmtId="1" fontId="3" fillId="15" borderId="24" xfId="2" applyNumberFormat="1" applyFont="1" applyFill="1" applyBorder="1" applyAlignment="1">
      <alignment horizontal="center" vertical="center"/>
    </xf>
    <xf numFmtId="1" fontId="3" fillId="15" borderId="14" xfId="2" applyNumberFormat="1" applyFont="1" applyFill="1" applyBorder="1" applyAlignment="1">
      <alignment horizontal="center" vertical="center"/>
    </xf>
    <xf numFmtId="1" fontId="3" fillId="15" borderId="8" xfId="2" applyNumberFormat="1" applyFont="1" applyFill="1" applyBorder="1" applyAlignment="1">
      <alignment horizontal="center" vertical="center"/>
    </xf>
    <xf numFmtId="1" fontId="3" fillId="15" borderId="15" xfId="2" applyNumberFormat="1" applyFont="1" applyFill="1" applyBorder="1" applyAlignment="1">
      <alignment horizontal="center" vertical="center"/>
    </xf>
    <xf numFmtId="2" fontId="3" fillId="15" borderId="30" xfId="2" applyNumberFormat="1" applyFont="1" applyFill="1" applyBorder="1" applyAlignment="1">
      <alignment horizontal="center" vertical="center"/>
    </xf>
    <xf numFmtId="0" fontId="11" fillId="2" borderId="0" xfId="2" applyFont="1" applyFill="1" applyBorder="1" applyAlignment="1">
      <alignment horizontal="center" vertical="center"/>
    </xf>
    <xf numFmtId="164" fontId="7" fillId="2" borderId="0" xfId="2" applyNumberFormat="1" applyFill="1" applyBorder="1" applyAlignment="1">
      <alignment horizontal="center" vertical="center"/>
    </xf>
    <xf numFmtId="2" fontId="7" fillId="2" borderId="0" xfId="2" applyNumberFormat="1" applyFill="1" applyBorder="1" applyAlignment="1">
      <alignment horizontal="center" vertical="center"/>
    </xf>
    <xf numFmtId="1" fontId="7" fillId="2" borderId="0" xfId="2" applyNumberFormat="1" applyFill="1" applyBorder="1" applyAlignment="1">
      <alignment horizontal="center" vertical="center"/>
    </xf>
    <xf numFmtId="166" fontId="7" fillId="2" borderId="0" xfId="2" applyNumberFormat="1" applyFill="1" applyBorder="1" applyAlignment="1">
      <alignment horizontal="center" vertical="center"/>
    </xf>
    <xf numFmtId="0" fontId="7" fillId="2" borderId="0" xfId="2" applyFill="1" applyBorder="1" applyAlignment="1">
      <alignment horizontal="center" vertical="center"/>
    </xf>
    <xf numFmtId="164" fontId="3" fillId="8" borderId="5" xfId="2" applyNumberFormat="1" applyFont="1" applyFill="1" applyBorder="1" applyAlignment="1">
      <alignment horizontal="center" vertical="center"/>
    </xf>
    <xf numFmtId="164" fontId="7" fillId="7" borderId="4" xfId="2" applyNumberFormat="1" applyFill="1" applyBorder="1" applyAlignment="1">
      <alignment horizontal="center" vertical="center"/>
    </xf>
    <xf numFmtId="20" fontId="0" fillId="7" borderId="4" xfId="2" applyNumberFormat="1" applyFont="1" applyFill="1" applyBorder="1" applyAlignment="1">
      <alignment horizontal="center" vertical="center"/>
    </xf>
    <xf numFmtId="20" fontId="0" fillId="7" borderId="5" xfId="2" applyNumberFormat="1" applyFont="1" applyFill="1" applyBorder="1" applyAlignment="1">
      <alignment horizontal="center" vertical="center"/>
    </xf>
    <xf numFmtId="0" fontId="2" fillId="9" borderId="25" xfId="2" applyFont="1" applyFill="1" applyBorder="1" applyAlignment="1">
      <alignment horizontal="center" vertical="center"/>
    </xf>
    <xf numFmtId="0" fontId="2" fillId="9" borderId="12" xfId="2" applyFont="1" applyFill="1" applyBorder="1" applyAlignment="1">
      <alignment horizontal="center" vertical="center"/>
    </xf>
    <xf numFmtId="0" fontId="7" fillId="6" borderId="10" xfId="2" applyFont="1" applyFill="1" applyBorder="1" applyAlignment="1">
      <alignment horizontal="center"/>
    </xf>
    <xf numFmtId="0" fontId="7" fillId="0" borderId="1" xfId="2" applyBorder="1" applyAlignment="1">
      <alignment horizontal="center"/>
    </xf>
    <xf numFmtId="0" fontId="7" fillId="0" borderId="2" xfId="2" applyBorder="1" applyAlignment="1">
      <alignment horizontal="center"/>
    </xf>
    <xf numFmtId="0" fontId="6" fillId="0" borderId="3" xfId="2" applyFont="1" applyBorder="1"/>
    <xf numFmtId="2" fontId="2" fillId="2" borderId="0" xfId="2" applyNumberFormat="1" applyFont="1" applyFill="1" applyBorder="1" applyAlignment="1">
      <alignment horizontal="center" vertical="center"/>
    </xf>
    <xf numFmtId="0" fontId="12" fillId="2" borderId="0" xfId="2" applyFont="1" applyFill="1" applyBorder="1" applyAlignment="1">
      <alignment horizontal="center" vertical="center"/>
    </xf>
    <xf numFmtId="166" fontId="12" fillId="2" borderId="0" xfId="2" applyNumberFormat="1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2" fontId="2" fillId="2" borderId="0" xfId="1" applyNumberFormat="1" applyFont="1" applyFill="1" applyBorder="1" applyAlignment="1">
      <alignment horizontal="center" vertical="center"/>
    </xf>
    <xf numFmtId="0" fontId="0" fillId="2" borderId="0" xfId="2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2" fontId="13" fillId="2" borderId="0" xfId="2" applyNumberFormat="1" applyFont="1" applyFill="1" applyBorder="1" applyAlignment="1">
      <alignment horizontal="center" vertical="center"/>
    </xf>
    <xf numFmtId="164" fontId="5" fillId="2" borderId="0" xfId="2" applyNumberFormat="1" applyFont="1" applyFill="1" applyBorder="1" applyAlignment="1">
      <alignment horizontal="center" vertical="center"/>
    </xf>
    <xf numFmtId="0" fontId="10" fillId="2" borderId="0" xfId="2" applyFont="1" applyFill="1" applyBorder="1"/>
    <xf numFmtId="0" fontId="1" fillId="2" borderId="0" xfId="2" applyFont="1" applyFill="1" applyBorder="1" applyAlignment="1">
      <alignment horizontal="center" vertical="center" wrapText="1"/>
    </xf>
    <xf numFmtId="164" fontId="3" fillId="5" borderId="0" xfId="2" applyNumberFormat="1" applyFont="1" applyFill="1" applyBorder="1" applyAlignment="1">
      <alignment horizontal="center" vertical="center"/>
    </xf>
    <xf numFmtId="20" fontId="0" fillId="4" borderId="0" xfId="2" applyNumberFormat="1" applyFont="1" applyFill="1" applyBorder="1" applyAlignment="1">
      <alignment horizontal="center" vertical="center"/>
    </xf>
    <xf numFmtId="0" fontId="0" fillId="2" borderId="0" xfId="2" applyFont="1" applyFill="1" applyBorder="1"/>
    <xf numFmtId="20" fontId="7" fillId="2" borderId="0" xfId="2" applyNumberFormat="1" applyFill="1" applyBorder="1"/>
    <xf numFmtId="0" fontId="6" fillId="2" borderId="0" xfId="2" applyFont="1" applyFill="1" applyBorder="1"/>
    <xf numFmtId="0" fontId="14" fillId="17" borderId="34" xfId="0" applyFont="1" applyFill="1" applyBorder="1" applyAlignment="1">
      <alignment horizontal="center" vertical="center" wrapText="1"/>
    </xf>
    <xf numFmtId="0" fontId="14" fillId="17" borderId="34" xfId="0" applyNumberFormat="1" applyFont="1" applyFill="1" applyBorder="1" applyAlignment="1">
      <alignment horizontal="center" vertical="center" wrapText="1"/>
    </xf>
    <xf numFmtId="0" fontId="14" fillId="17" borderId="35" xfId="0" applyFont="1" applyFill="1" applyBorder="1" applyAlignment="1">
      <alignment horizontal="center" vertical="center" wrapText="1"/>
    </xf>
    <xf numFmtId="0" fontId="14" fillId="17" borderId="36" xfId="0" applyFont="1" applyFill="1" applyBorder="1" applyAlignment="1">
      <alignment horizontal="center" vertical="center" wrapText="1"/>
    </xf>
    <xf numFmtId="0" fontId="14" fillId="17" borderId="37" xfId="0" applyFont="1" applyFill="1" applyBorder="1" applyAlignment="1">
      <alignment horizontal="center" vertical="center" wrapText="1"/>
    </xf>
    <xf numFmtId="0" fontId="14" fillId="17" borderId="38" xfId="0" applyFont="1" applyFill="1" applyBorder="1" applyAlignment="1">
      <alignment horizontal="center" vertical="center" wrapText="1"/>
    </xf>
    <xf numFmtId="0" fontId="0" fillId="18" borderId="39" xfId="0" applyFont="1" applyFill="1" applyBorder="1" applyAlignment="1">
      <alignment horizontal="center" vertical="center" wrapText="1"/>
    </xf>
    <xf numFmtId="0" fontId="0" fillId="18" borderId="40" xfId="0" applyNumberFormat="1" applyFont="1" applyFill="1" applyBorder="1" applyAlignment="1">
      <alignment horizontal="center" vertical="center" wrapText="1"/>
    </xf>
    <xf numFmtId="0" fontId="0" fillId="18" borderId="40" xfId="0" applyFont="1" applyFill="1" applyBorder="1" applyAlignment="1">
      <alignment horizontal="center" vertical="center" wrapText="1"/>
    </xf>
    <xf numFmtId="0" fontId="0" fillId="18" borderId="41" xfId="0" applyFont="1" applyFill="1" applyBorder="1" applyAlignment="1">
      <alignment horizontal="center" vertical="center" wrapText="1"/>
    </xf>
    <xf numFmtId="0" fontId="0" fillId="18" borderId="40" xfId="0" applyFill="1" applyBorder="1" applyAlignment="1">
      <alignment horizontal="left" vertical="center" wrapText="1"/>
    </xf>
    <xf numFmtId="2" fontId="0" fillId="6" borderId="24" xfId="2" applyNumberFormat="1" applyFont="1" applyFill="1" applyBorder="1" applyAlignment="1">
      <alignment horizontal="center" vertical="center"/>
    </xf>
    <xf numFmtId="0" fontId="3" fillId="9" borderId="28" xfId="1" applyFont="1" applyFill="1" applyBorder="1" applyAlignment="1">
      <alignment horizontal="center" vertical="center"/>
    </xf>
    <xf numFmtId="0" fontId="3" fillId="9" borderId="7" xfId="1" applyFont="1" applyFill="1" applyBorder="1" applyAlignment="1"/>
    <xf numFmtId="0" fontId="3" fillId="9" borderId="7" xfId="1" applyFont="1" applyFill="1" applyBorder="1" applyAlignment="1">
      <alignment horizontal="center" vertical="center"/>
    </xf>
    <xf numFmtId="0" fontId="7" fillId="6" borderId="31" xfId="2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/>
    </xf>
    <xf numFmtId="0" fontId="1" fillId="3" borderId="0" xfId="2" applyFont="1" applyFill="1" applyBorder="1" applyAlignment="1">
      <alignment horizontal="center" vertical="center" wrapText="1"/>
    </xf>
    <xf numFmtId="2" fontId="7" fillId="2" borderId="0" xfId="2" applyNumberFormat="1" applyFill="1" applyBorder="1" applyAlignment="1">
      <alignment horizontal="center"/>
    </xf>
    <xf numFmtId="0" fontId="1" fillId="2" borderId="0" xfId="2" applyFont="1" applyFill="1" applyBorder="1" applyAlignment="1">
      <alignment horizontal="center" vertical="center" wrapText="1"/>
    </xf>
    <xf numFmtId="0" fontId="7" fillId="2" borderId="0" xfId="2" applyFill="1" applyBorder="1" applyAlignment="1">
      <alignment horizontal="center"/>
    </xf>
    <xf numFmtId="2" fontId="7" fillId="0" borderId="18" xfId="2" applyNumberFormat="1" applyBorder="1" applyAlignment="1">
      <alignment horizontal="center"/>
    </xf>
    <xf numFmtId="2" fontId="7" fillId="0" borderId="19" xfId="2" applyNumberFormat="1" applyBorder="1" applyAlignment="1">
      <alignment horizontal="center"/>
    </xf>
    <xf numFmtId="0" fontId="1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 wrapText="1"/>
    </xf>
    <xf numFmtId="0" fontId="7" fillId="2" borderId="13" xfId="2" applyFill="1" applyBorder="1" applyAlignment="1">
      <alignment horizontal="center"/>
    </xf>
    <xf numFmtId="0" fontId="5" fillId="16" borderId="21" xfId="2" applyFont="1" applyFill="1" applyBorder="1" applyAlignment="1">
      <alignment horizontal="center"/>
    </xf>
    <xf numFmtId="0" fontId="5" fillId="16" borderId="20" xfId="2" applyFont="1" applyFill="1" applyBorder="1" applyAlignment="1">
      <alignment horizontal="center"/>
    </xf>
    <xf numFmtId="0" fontId="5" fillId="16" borderId="22" xfId="2" applyFont="1" applyFill="1" applyBorder="1" applyAlignment="1">
      <alignment horizontal="center"/>
    </xf>
    <xf numFmtId="0" fontId="1" fillId="3" borderId="3" xfId="2" applyFont="1" applyFill="1" applyBorder="1" applyAlignment="1">
      <alignment horizontal="center" vertical="center" wrapText="1"/>
    </xf>
    <xf numFmtId="0" fontId="1" fillId="3" borderId="19" xfId="2" applyFont="1" applyFill="1" applyBorder="1" applyAlignment="1">
      <alignment horizontal="center" vertical="center" wrapText="1"/>
    </xf>
    <xf numFmtId="0" fontId="1" fillId="3" borderId="21" xfId="2" applyFont="1" applyFill="1" applyBorder="1" applyAlignment="1">
      <alignment horizontal="center" vertical="center" wrapText="1"/>
    </xf>
    <xf numFmtId="0" fontId="1" fillId="3" borderId="22" xfId="2" applyFont="1" applyFill="1" applyBorder="1" applyAlignment="1">
      <alignment horizontal="center" vertical="center" wrapText="1"/>
    </xf>
    <xf numFmtId="0" fontId="1" fillId="3" borderId="21" xfId="2" applyFont="1" applyFill="1" applyBorder="1" applyAlignment="1">
      <alignment horizontal="center" wrapText="1"/>
    </xf>
    <xf numFmtId="0" fontId="1" fillId="3" borderId="22" xfId="2" applyFont="1" applyFill="1" applyBorder="1" applyAlignment="1">
      <alignment horizontal="center" wrapText="1"/>
    </xf>
  </cellXfs>
  <cellStyles count="3">
    <cellStyle name="Excel Built-in Normal" xfId="1"/>
    <cellStyle name="Excel Built-in Normal 1" xfId="2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BE4B48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E6B9B8"/>
      <rgbColor rgb="004A7EBB"/>
      <rgbColor rgb="0033CCCC"/>
      <rgbColor rgb="0092D050"/>
      <rgbColor rgb="00FFCC00"/>
      <rgbColor rgb="00FF9900"/>
      <rgbColor rgb="00FF6600"/>
      <rgbColor rgb="00606060"/>
      <rgbColor rgb="00B7B7B7"/>
      <rgbColor rgb="00003366"/>
      <rgbColor rgb="004F81BD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showGridLines="0" workbookViewId="0">
      <selection activeCell="J9" sqref="J9"/>
    </sheetView>
  </sheetViews>
  <sheetFormatPr baseColWidth="10" defaultRowHeight="12.75"/>
  <cols>
    <col min="5" max="5" width="14.5703125" customWidth="1"/>
    <col min="12" max="12" width="82.140625" customWidth="1"/>
  </cols>
  <sheetData>
    <row r="1" spans="1:12" ht="30">
      <c r="A1" s="165" t="s">
        <v>52</v>
      </c>
      <c r="B1" s="166" t="s">
        <v>53</v>
      </c>
      <c r="C1" s="167" t="s">
        <v>54</v>
      </c>
      <c r="D1" s="168" t="s">
        <v>55</v>
      </c>
      <c r="E1" s="168" t="s">
        <v>64</v>
      </c>
      <c r="F1" s="169" t="s">
        <v>56</v>
      </c>
      <c r="G1" s="170" t="s">
        <v>65</v>
      </c>
      <c r="H1" s="170" t="s">
        <v>57</v>
      </c>
      <c r="I1" s="170" t="s">
        <v>59</v>
      </c>
      <c r="J1" s="170" t="s">
        <v>58</v>
      </c>
      <c r="K1" s="170" t="s">
        <v>60</v>
      </c>
      <c r="L1" s="169" t="s">
        <v>61</v>
      </c>
    </row>
    <row r="2" spans="1:12" ht="45.75" customHeight="1">
      <c r="A2" s="171"/>
      <c r="B2" s="172"/>
      <c r="C2" s="173"/>
      <c r="D2" s="173"/>
      <c r="E2" s="173"/>
      <c r="F2" s="173"/>
      <c r="G2" s="173"/>
      <c r="H2" s="173"/>
      <c r="I2" s="174"/>
      <c r="J2" s="173"/>
      <c r="K2" s="174"/>
      <c r="L2" s="175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S96"/>
  <sheetViews>
    <sheetView showGridLines="0" tabSelected="1" zoomScaleNormal="100" workbookViewId="0">
      <selection activeCell="U4" sqref="U4"/>
    </sheetView>
  </sheetViews>
  <sheetFormatPr baseColWidth="10" defaultColWidth="10.7109375" defaultRowHeight="12.75"/>
  <cols>
    <col min="1" max="1" width="17" style="4" customWidth="1"/>
    <col min="2" max="2" width="8" style="4" customWidth="1"/>
    <col min="3" max="3" width="8.85546875" style="4" customWidth="1"/>
    <col min="4" max="4" width="7.42578125" style="4" customWidth="1"/>
    <col min="5" max="6" width="7.85546875" style="4" customWidth="1"/>
    <col min="7" max="7" width="7.42578125" style="4" customWidth="1"/>
    <col min="8" max="8" width="7.85546875" style="4" customWidth="1"/>
    <col min="9" max="10" width="7.42578125" style="4" customWidth="1"/>
    <col min="11" max="11" width="7.85546875" style="4" customWidth="1"/>
    <col min="12" max="14" width="7.42578125" style="4" customWidth="1"/>
    <col min="15" max="15" width="7.140625" style="4" customWidth="1"/>
    <col min="16" max="16" width="7.42578125" style="4" customWidth="1"/>
    <col min="17" max="17" width="9.85546875" style="4" customWidth="1"/>
    <col min="18" max="18" width="9.5703125" style="4" customWidth="1"/>
    <col min="19" max="21" width="10.7109375" style="4"/>
    <col min="22" max="22" width="9.42578125" style="4" customWidth="1"/>
    <col min="23" max="23" width="14" style="4" customWidth="1"/>
    <col min="24" max="24" width="12.85546875" style="4" customWidth="1"/>
    <col min="25" max="25" width="10" style="4" customWidth="1"/>
    <col min="26" max="30" width="10.7109375" style="4"/>
    <col min="31" max="31" width="12.5703125" style="4" customWidth="1"/>
    <col min="32" max="253" width="10.7109375" style="4"/>
    <col min="254" max="16384" width="10.7109375" style="5"/>
  </cols>
  <sheetData>
    <row r="1" spans="1:29" ht="13.5" thickBot="1">
      <c r="A1" s="3"/>
    </row>
    <row r="2" spans="1:29" ht="30.75" customHeight="1" thickTop="1" thickBot="1">
      <c r="A2" s="6"/>
      <c r="B2" s="7"/>
      <c r="C2" s="196"/>
      <c r="D2" s="197"/>
      <c r="E2" s="8"/>
      <c r="F2" s="196" t="s">
        <v>34</v>
      </c>
      <c r="G2" s="197"/>
      <c r="H2" s="9">
        <f>(H3+H4+H5)/3</f>
        <v>0</v>
      </c>
      <c r="I2" s="196"/>
      <c r="J2" s="197"/>
      <c r="K2" s="10"/>
      <c r="L2" s="196"/>
      <c r="M2" s="197"/>
      <c r="N2" s="10"/>
    </row>
    <row r="3" spans="1:29" ht="30.75" customHeight="1" thickTop="1" thickBot="1">
      <c r="A3" s="6" t="s">
        <v>11</v>
      </c>
      <c r="B3" s="54"/>
      <c r="C3" s="196" t="s">
        <v>14</v>
      </c>
      <c r="D3" s="197"/>
      <c r="E3" s="55"/>
      <c r="F3" s="196" t="s">
        <v>17</v>
      </c>
      <c r="G3" s="197"/>
      <c r="H3" s="56">
        <f>(B3+E3)/2</f>
        <v>0</v>
      </c>
      <c r="I3" s="196"/>
      <c r="J3" s="197"/>
      <c r="K3" s="10"/>
      <c r="L3" s="196"/>
      <c r="M3" s="197"/>
      <c r="N3" s="10"/>
      <c r="S3" s="3"/>
    </row>
    <row r="4" spans="1:29" ht="24" customHeight="1" thickTop="1" thickBot="1">
      <c r="A4" s="6" t="s">
        <v>12</v>
      </c>
      <c r="B4" s="54"/>
      <c r="C4" s="196" t="s">
        <v>15</v>
      </c>
      <c r="D4" s="197"/>
      <c r="E4" s="55"/>
      <c r="F4" s="196" t="s">
        <v>18</v>
      </c>
      <c r="G4" s="197"/>
      <c r="H4" s="56">
        <f>(B4+E4)/2</f>
        <v>0</v>
      </c>
      <c r="I4" s="196" t="s">
        <v>31</v>
      </c>
      <c r="J4" s="197"/>
      <c r="K4" s="11"/>
      <c r="L4" s="196" t="s">
        <v>36</v>
      </c>
      <c r="M4" s="197"/>
      <c r="N4" s="59"/>
      <c r="O4" s="12"/>
      <c r="P4" s="13" t="s">
        <v>40</v>
      </c>
      <c r="Q4" s="14"/>
      <c r="R4" s="15"/>
      <c r="S4" s="16"/>
      <c r="T4" s="16"/>
      <c r="U4" s="17"/>
    </row>
    <row r="5" spans="1:29" ht="24" customHeight="1" thickTop="1" thickBot="1">
      <c r="A5" s="6" t="s">
        <v>13</v>
      </c>
      <c r="B5" s="54"/>
      <c r="C5" s="196" t="s">
        <v>16</v>
      </c>
      <c r="D5" s="197"/>
      <c r="E5" s="55"/>
      <c r="F5" s="196" t="s">
        <v>19</v>
      </c>
      <c r="G5" s="197"/>
      <c r="H5" s="57">
        <f>(B5+E5)/2</f>
        <v>0</v>
      </c>
      <c r="I5" s="198" t="s">
        <v>20</v>
      </c>
      <c r="J5" s="199"/>
      <c r="K5" s="58"/>
      <c r="L5" s="198" t="s">
        <v>0</v>
      </c>
      <c r="M5" s="199"/>
      <c r="N5" s="60"/>
      <c r="O5" s="18"/>
      <c r="P5" s="19"/>
      <c r="Q5" s="19"/>
      <c r="R5" s="20"/>
      <c r="S5" s="21"/>
      <c r="T5" s="22"/>
      <c r="W5" s="19"/>
      <c r="X5" s="19"/>
      <c r="Y5" s="19"/>
      <c r="Z5" s="19"/>
      <c r="AA5" s="21" t="s">
        <v>62</v>
      </c>
      <c r="AB5" s="19"/>
      <c r="AC5" s="19"/>
    </row>
    <row r="6" spans="1:29" s="4" customFormat="1" ht="14.25" thickTop="1" thickBot="1">
      <c r="A6" s="79" t="s">
        <v>63</v>
      </c>
      <c r="B6" s="177"/>
      <c r="C6" s="178"/>
      <c r="D6" s="178"/>
      <c r="E6" s="178"/>
      <c r="F6" s="178"/>
      <c r="G6" s="178"/>
      <c r="H6" s="178"/>
      <c r="I6" s="178"/>
      <c r="J6" s="178"/>
      <c r="K6" s="178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80"/>
    </row>
    <row r="7" spans="1:29" s="4" customFormat="1" ht="14.25" thickTop="1" thickBot="1">
      <c r="A7" s="79" t="s">
        <v>1</v>
      </c>
      <c r="B7" s="61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3"/>
    </row>
    <row r="8" spans="1:29" s="4" customFormat="1" ht="14.25" thickTop="1" thickBot="1">
      <c r="A8" s="143" t="s">
        <v>2</v>
      </c>
      <c r="B8" s="64"/>
      <c r="C8" s="65"/>
      <c r="D8" s="66"/>
      <c r="E8" s="66"/>
      <c r="F8" s="66"/>
      <c r="G8" s="66"/>
      <c r="H8" s="66"/>
      <c r="I8" s="66"/>
      <c r="J8" s="67"/>
      <c r="K8" s="67"/>
      <c r="L8" s="66"/>
      <c r="M8" s="66"/>
      <c r="N8" s="66"/>
      <c r="O8" s="67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8"/>
    </row>
    <row r="9" spans="1:29" s="4" customFormat="1" ht="13.5" thickBot="1">
      <c r="A9" s="144" t="s">
        <v>3</v>
      </c>
      <c r="B9" s="69"/>
      <c r="C9" s="70"/>
      <c r="D9" s="71"/>
      <c r="E9" s="71"/>
      <c r="F9" s="71"/>
      <c r="G9" s="71"/>
      <c r="H9" s="71"/>
      <c r="I9" s="71"/>
      <c r="J9" s="72"/>
      <c r="K9" s="72"/>
      <c r="L9" s="71"/>
      <c r="M9" s="71"/>
      <c r="N9" s="71"/>
      <c r="O9" s="7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3"/>
    </row>
    <row r="10" spans="1:29" s="24" customFormat="1" ht="14.25" thickTop="1" thickBot="1">
      <c r="A10" s="92" t="s">
        <v>50</v>
      </c>
      <c r="B10" s="74"/>
      <c r="C10" s="75"/>
      <c r="D10" s="76"/>
      <c r="E10" s="76"/>
      <c r="F10" s="76"/>
      <c r="G10" s="76"/>
      <c r="H10" s="76"/>
      <c r="I10" s="76"/>
      <c r="J10" s="77"/>
      <c r="K10" s="77"/>
      <c r="L10" s="76"/>
      <c r="M10" s="76"/>
      <c r="N10" s="76"/>
      <c r="O10" s="77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8"/>
    </row>
    <row r="11" spans="1:29" s="4" customFormat="1" ht="14.25" thickTop="1" thickBot="1">
      <c r="A11" s="93" t="s">
        <v>32</v>
      </c>
      <c r="B11" s="94" t="e">
        <f>(B10/1.73)/(3.14*$K5^2/4)</f>
        <v>#DIV/0!</v>
      </c>
      <c r="C11" s="95" t="e">
        <f>(C10/1.73)/(3.14*$K5^2/4)</f>
        <v>#DIV/0!</v>
      </c>
      <c r="D11" s="96" t="e">
        <f t="shared" ref="D11:T11" si="0">(D10/1.73)/(3.14*$K5^2/4)</f>
        <v>#DIV/0!</v>
      </c>
      <c r="E11" s="96" t="e">
        <f t="shared" si="0"/>
        <v>#DIV/0!</v>
      </c>
      <c r="F11" s="96" t="e">
        <f t="shared" si="0"/>
        <v>#DIV/0!</v>
      </c>
      <c r="G11" s="96" t="e">
        <f t="shared" si="0"/>
        <v>#DIV/0!</v>
      </c>
      <c r="H11" s="96" t="e">
        <f t="shared" si="0"/>
        <v>#DIV/0!</v>
      </c>
      <c r="I11" s="96" t="e">
        <f t="shared" si="0"/>
        <v>#DIV/0!</v>
      </c>
      <c r="J11" s="97" t="e">
        <f t="shared" si="0"/>
        <v>#DIV/0!</v>
      </c>
      <c r="K11" s="97" t="e">
        <f t="shared" si="0"/>
        <v>#DIV/0!</v>
      </c>
      <c r="L11" s="96" t="e">
        <f t="shared" si="0"/>
        <v>#DIV/0!</v>
      </c>
      <c r="M11" s="96" t="e">
        <f t="shared" si="0"/>
        <v>#DIV/0!</v>
      </c>
      <c r="N11" s="96" t="e">
        <f t="shared" si="0"/>
        <v>#DIV/0!</v>
      </c>
      <c r="O11" s="97" t="e">
        <f t="shared" si="0"/>
        <v>#DIV/0!</v>
      </c>
      <c r="P11" s="96" t="e">
        <f t="shared" si="0"/>
        <v>#DIV/0!</v>
      </c>
      <c r="Q11" s="96" t="e">
        <f t="shared" si="0"/>
        <v>#DIV/0!</v>
      </c>
      <c r="R11" s="96" t="e">
        <f t="shared" si="0"/>
        <v>#DIV/0!</v>
      </c>
      <c r="S11" s="96" t="e">
        <f t="shared" si="0"/>
        <v>#DIV/0!</v>
      </c>
      <c r="T11" s="96" t="e">
        <f t="shared" si="0"/>
        <v>#DIV/0!</v>
      </c>
      <c r="U11" s="96" t="e">
        <f t="shared" ref="U11:Z11" si="1">(U10/1.73)/(3.14*$K5^2/4)</f>
        <v>#DIV/0!</v>
      </c>
      <c r="V11" s="96" t="e">
        <f t="shared" si="1"/>
        <v>#DIV/0!</v>
      </c>
      <c r="W11" s="96" t="e">
        <f t="shared" si="1"/>
        <v>#DIV/0!</v>
      </c>
      <c r="X11" s="96" t="e">
        <f t="shared" si="1"/>
        <v>#DIV/0!</v>
      </c>
      <c r="Y11" s="96" t="e">
        <f t="shared" si="1"/>
        <v>#DIV/0!</v>
      </c>
      <c r="Z11" s="96" t="e">
        <f t="shared" si="1"/>
        <v>#DIV/0!</v>
      </c>
      <c r="AA11" s="98" t="e">
        <f>(AA10/1.73)/(3.14*$K5^2/4)</f>
        <v>#DIV/0!</v>
      </c>
    </row>
    <row r="12" spans="1:29" s="4" customFormat="1" ht="14.25" thickTop="1" thickBot="1">
      <c r="A12" s="93" t="s">
        <v>41</v>
      </c>
      <c r="B12" s="128"/>
      <c r="C12" s="129"/>
      <c r="D12" s="130"/>
      <c r="E12" s="130"/>
      <c r="F12" s="130"/>
      <c r="G12" s="130"/>
      <c r="H12" s="130"/>
      <c r="I12" s="130"/>
      <c r="J12" s="131"/>
      <c r="K12" s="131"/>
      <c r="L12" s="130"/>
      <c r="M12" s="130"/>
      <c r="N12" s="130"/>
      <c r="O12" s="131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2"/>
    </row>
    <row r="13" spans="1:29" s="4" customFormat="1" ht="14.25" thickTop="1" thickBot="1">
      <c r="A13" s="80" t="s">
        <v>33</v>
      </c>
      <c r="B13" s="81" t="e">
        <f>B12/(B6*B10*1.732)</f>
        <v>#DIV/0!</v>
      </c>
      <c r="C13" s="81" t="e">
        <f t="shared" ref="C13:AA13" si="2">C12/(C6*C10*1.732)</f>
        <v>#DIV/0!</v>
      </c>
      <c r="D13" s="81" t="e">
        <f t="shared" si="2"/>
        <v>#DIV/0!</v>
      </c>
      <c r="E13" s="81" t="e">
        <f t="shared" si="2"/>
        <v>#DIV/0!</v>
      </c>
      <c r="F13" s="81" t="e">
        <f t="shared" si="2"/>
        <v>#DIV/0!</v>
      </c>
      <c r="G13" s="81" t="e">
        <f t="shared" si="2"/>
        <v>#DIV/0!</v>
      </c>
      <c r="H13" s="81" t="e">
        <f t="shared" si="2"/>
        <v>#DIV/0!</v>
      </c>
      <c r="I13" s="81" t="e">
        <f t="shared" si="2"/>
        <v>#DIV/0!</v>
      </c>
      <c r="J13" s="81" t="e">
        <f t="shared" si="2"/>
        <v>#DIV/0!</v>
      </c>
      <c r="K13" s="81" t="e">
        <f t="shared" si="2"/>
        <v>#DIV/0!</v>
      </c>
      <c r="L13" s="81" t="e">
        <f t="shared" si="2"/>
        <v>#DIV/0!</v>
      </c>
      <c r="M13" s="81" t="e">
        <f t="shared" si="2"/>
        <v>#DIV/0!</v>
      </c>
      <c r="N13" s="81" t="e">
        <f t="shared" si="2"/>
        <v>#DIV/0!</v>
      </c>
      <c r="O13" s="81" t="e">
        <f t="shared" si="2"/>
        <v>#DIV/0!</v>
      </c>
      <c r="P13" s="81" t="e">
        <f t="shared" si="2"/>
        <v>#DIV/0!</v>
      </c>
      <c r="Q13" s="81" t="e">
        <f t="shared" si="2"/>
        <v>#DIV/0!</v>
      </c>
      <c r="R13" s="81" t="e">
        <f t="shared" si="2"/>
        <v>#DIV/0!</v>
      </c>
      <c r="S13" s="81" t="e">
        <f t="shared" si="2"/>
        <v>#DIV/0!</v>
      </c>
      <c r="T13" s="81" t="e">
        <f t="shared" si="2"/>
        <v>#DIV/0!</v>
      </c>
      <c r="U13" s="81" t="e">
        <f t="shared" si="2"/>
        <v>#DIV/0!</v>
      </c>
      <c r="V13" s="81" t="e">
        <f t="shared" si="2"/>
        <v>#DIV/0!</v>
      </c>
      <c r="W13" s="81" t="e">
        <f t="shared" si="2"/>
        <v>#DIV/0!</v>
      </c>
      <c r="X13" s="81" t="e">
        <f t="shared" si="2"/>
        <v>#DIV/0!</v>
      </c>
      <c r="Y13" s="81" t="e">
        <f t="shared" si="2"/>
        <v>#DIV/0!</v>
      </c>
      <c r="Z13" s="81" t="e">
        <f t="shared" si="2"/>
        <v>#DIV/0!</v>
      </c>
      <c r="AA13" s="81" t="e">
        <f t="shared" si="2"/>
        <v>#DIV/0!</v>
      </c>
    </row>
    <row r="14" spans="1:29" s="4" customFormat="1" ht="14.25" thickTop="1" thickBot="1">
      <c r="A14" s="80" t="s">
        <v>21</v>
      </c>
      <c r="B14" s="104" t="e">
        <f>(ACOS(B13))*57.296</f>
        <v>#DIV/0!</v>
      </c>
      <c r="C14" s="102" t="e">
        <f t="shared" ref="C14:T14" si="3">(ACOS(C13))*57.296</f>
        <v>#DIV/0!</v>
      </c>
      <c r="D14" s="101" t="e">
        <f t="shared" si="3"/>
        <v>#DIV/0!</v>
      </c>
      <c r="E14" s="101" t="e">
        <f t="shared" si="3"/>
        <v>#DIV/0!</v>
      </c>
      <c r="F14" s="101" t="e">
        <f t="shared" si="3"/>
        <v>#DIV/0!</v>
      </c>
      <c r="G14" s="101" t="e">
        <f t="shared" si="3"/>
        <v>#DIV/0!</v>
      </c>
      <c r="H14" s="101" t="e">
        <f t="shared" si="3"/>
        <v>#DIV/0!</v>
      </c>
      <c r="I14" s="101" t="e">
        <f t="shared" si="3"/>
        <v>#DIV/0!</v>
      </c>
      <c r="J14" s="105" t="e">
        <f t="shared" si="3"/>
        <v>#DIV/0!</v>
      </c>
      <c r="K14" s="105" t="e">
        <f t="shared" si="3"/>
        <v>#DIV/0!</v>
      </c>
      <c r="L14" s="101" t="e">
        <f t="shared" si="3"/>
        <v>#DIV/0!</v>
      </c>
      <c r="M14" s="101" t="e">
        <f t="shared" si="3"/>
        <v>#DIV/0!</v>
      </c>
      <c r="N14" s="101" t="e">
        <f t="shared" si="3"/>
        <v>#DIV/0!</v>
      </c>
      <c r="O14" s="105" t="e">
        <f t="shared" si="3"/>
        <v>#DIV/0!</v>
      </c>
      <c r="P14" s="101" t="e">
        <f t="shared" si="3"/>
        <v>#DIV/0!</v>
      </c>
      <c r="Q14" s="101" t="e">
        <f t="shared" si="3"/>
        <v>#DIV/0!</v>
      </c>
      <c r="R14" s="101" t="e">
        <f t="shared" si="3"/>
        <v>#DIV/0!</v>
      </c>
      <c r="S14" s="101" t="e">
        <f t="shared" si="3"/>
        <v>#DIV/0!</v>
      </c>
      <c r="T14" s="101" t="e">
        <f t="shared" si="3"/>
        <v>#DIV/0!</v>
      </c>
      <c r="U14" s="101" t="e">
        <f t="shared" ref="U14:Z14" si="4">(ACOS(U13))*57.296</f>
        <v>#DIV/0!</v>
      </c>
      <c r="V14" s="101" t="e">
        <f t="shared" si="4"/>
        <v>#DIV/0!</v>
      </c>
      <c r="W14" s="101" t="e">
        <f t="shared" si="4"/>
        <v>#DIV/0!</v>
      </c>
      <c r="X14" s="101" t="e">
        <f t="shared" si="4"/>
        <v>#DIV/0!</v>
      </c>
      <c r="Y14" s="101" t="e">
        <f t="shared" si="4"/>
        <v>#DIV/0!</v>
      </c>
      <c r="Z14" s="101" t="e">
        <f t="shared" si="4"/>
        <v>#DIV/0!</v>
      </c>
      <c r="AA14" s="103" t="e">
        <f>(ACOS(AA13))*57.296</f>
        <v>#DIV/0!</v>
      </c>
    </row>
    <row r="15" spans="1:29" s="4" customFormat="1" ht="14.25" thickTop="1" thickBot="1">
      <c r="A15" s="106" t="s">
        <v>35</v>
      </c>
      <c r="B15" s="81">
        <f>3*(B10/1.73)^2*$H2</f>
        <v>0</v>
      </c>
      <c r="C15" s="82">
        <f>3*(C10/1.73)^2*$H2</f>
        <v>0</v>
      </c>
      <c r="D15" s="83">
        <f t="shared" ref="D15:T15" si="5">3*(D10/1.73)^2*$H2</f>
        <v>0</v>
      </c>
      <c r="E15" s="83">
        <f t="shared" si="5"/>
        <v>0</v>
      </c>
      <c r="F15" s="83">
        <f t="shared" si="5"/>
        <v>0</v>
      </c>
      <c r="G15" s="83">
        <f t="shared" si="5"/>
        <v>0</v>
      </c>
      <c r="H15" s="83">
        <f t="shared" si="5"/>
        <v>0</v>
      </c>
      <c r="I15" s="83">
        <f t="shared" si="5"/>
        <v>0</v>
      </c>
      <c r="J15" s="84">
        <f t="shared" si="5"/>
        <v>0</v>
      </c>
      <c r="K15" s="84">
        <f t="shared" si="5"/>
        <v>0</v>
      </c>
      <c r="L15" s="83">
        <f t="shared" si="5"/>
        <v>0</v>
      </c>
      <c r="M15" s="83">
        <f t="shared" si="5"/>
        <v>0</v>
      </c>
      <c r="N15" s="83">
        <f t="shared" si="5"/>
        <v>0</v>
      </c>
      <c r="O15" s="84">
        <f t="shared" si="5"/>
        <v>0</v>
      </c>
      <c r="P15" s="83">
        <f t="shared" si="5"/>
        <v>0</v>
      </c>
      <c r="Q15" s="83">
        <f t="shared" si="5"/>
        <v>0</v>
      </c>
      <c r="R15" s="83">
        <f t="shared" si="5"/>
        <v>0</v>
      </c>
      <c r="S15" s="83">
        <f t="shared" si="5"/>
        <v>0</v>
      </c>
      <c r="T15" s="83">
        <f t="shared" si="5"/>
        <v>0</v>
      </c>
      <c r="U15" s="83">
        <f t="shared" ref="U15:Z15" si="6">3*(U10/1.73)^2*$H2</f>
        <v>0</v>
      </c>
      <c r="V15" s="83">
        <f t="shared" si="6"/>
        <v>0</v>
      </c>
      <c r="W15" s="83">
        <f t="shared" si="6"/>
        <v>0</v>
      </c>
      <c r="X15" s="83">
        <f t="shared" si="6"/>
        <v>0</v>
      </c>
      <c r="Y15" s="83">
        <f t="shared" si="6"/>
        <v>0</v>
      </c>
      <c r="Z15" s="83">
        <f t="shared" si="6"/>
        <v>0</v>
      </c>
      <c r="AA15" s="85">
        <f>3*AA10^2*AM2</f>
        <v>0</v>
      </c>
    </row>
    <row r="16" spans="1:29" s="4" customFormat="1" ht="14.25" thickTop="1" thickBot="1">
      <c r="A16" s="80" t="s">
        <v>5</v>
      </c>
      <c r="B16" s="107" t="e">
        <f>(19.62*B8+0.0000000488*B7^2)/(0.000000002741*(B9*$N5)^2)</f>
        <v>#DIV/0!</v>
      </c>
      <c r="C16" s="108" t="e">
        <f>(19.62*C8+0.0000000488*C7^2)/(0.000000002741*(C9*$N5)^2)</f>
        <v>#DIV/0!</v>
      </c>
      <c r="D16" s="109" t="e">
        <f t="shared" ref="D16:T16" si="7">(19.62*D8+0.0000000488*D7^2)/(0.000000002741*(D9*$N5)^2)</f>
        <v>#DIV/0!</v>
      </c>
      <c r="E16" s="109" t="e">
        <f t="shared" si="7"/>
        <v>#DIV/0!</v>
      </c>
      <c r="F16" s="109" t="e">
        <f t="shared" si="7"/>
        <v>#DIV/0!</v>
      </c>
      <c r="G16" s="109" t="e">
        <f t="shared" si="7"/>
        <v>#DIV/0!</v>
      </c>
      <c r="H16" s="109" t="e">
        <f t="shared" si="7"/>
        <v>#DIV/0!</v>
      </c>
      <c r="I16" s="109" t="e">
        <f t="shared" si="7"/>
        <v>#DIV/0!</v>
      </c>
      <c r="J16" s="110" t="e">
        <f t="shared" si="7"/>
        <v>#DIV/0!</v>
      </c>
      <c r="K16" s="109" t="e">
        <f t="shared" si="7"/>
        <v>#DIV/0!</v>
      </c>
      <c r="L16" s="109" t="e">
        <f t="shared" si="7"/>
        <v>#DIV/0!</v>
      </c>
      <c r="M16" s="109" t="e">
        <f t="shared" si="7"/>
        <v>#DIV/0!</v>
      </c>
      <c r="N16" s="109" t="e">
        <f t="shared" si="7"/>
        <v>#DIV/0!</v>
      </c>
      <c r="O16" s="109" t="e">
        <f t="shared" si="7"/>
        <v>#DIV/0!</v>
      </c>
      <c r="P16" s="109" t="e">
        <f t="shared" si="7"/>
        <v>#DIV/0!</v>
      </c>
      <c r="Q16" s="109" t="e">
        <f t="shared" si="7"/>
        <v>#DIV/0!</v>
      </c>
      <c r="R16" s="109" t="e">
        <f t="shared" si="7"/>
        <v>#DIV/0!</v>
      </c>
      <c r="S16" s="109" t="e">
        <f t="shared" si="7"/>
        <v>#DIV/0!</v>
      </c>
      <c r="T16" s="109" t="e">
        <f t="shared" si="7"/>
        <v>#DIV/0!</v>
      </c>
      <c r="U16" s="109" t="e">
        <f t="shared" ref="U16:Z16" si="8">(19.62*U8+0.0000000488*U7^2)/(0.000000002741*(U9*$N5)^2)</f>
        <v>#DIV/0!</v>
      </c>
      <c r="V16" s="109" t="e">
        <f t="shared" si="8"/>
        <v>#DIV/0!</v>
      </c>
      <c r="W16" s="109" t="e">
        <f t="shared" si="8"/>
        <v>#DIV/0!</v>
      </c>
      <c r="X16" s="109" t="e">
        <f t="shared" si="8"/>
        <v>#DIV/0!</v>
      </c>
      <c r="Y16" s="109" t="e">
        <f t="shared" si="8"/>
        <v>#DIV/0!</v>
      </c>
      <c r="Z16" s="109" t="e">
        <f t="shared" si="8"/>
        <v>#DIV/0!</v>
      </c>
      <c r="AA16" s="111" t="e">
        <f>(19.62*AA8+0.0000000488*AA7^2)/(0.000000002741*(AA9*$N5)^2)</f>
        <v>#DIV/0!</v>
      </c>
    </row>
    <row r="17" spans="1:31" s="4" customFormat="1" ht="14.25" thickTop="1" thickBot="1">
      <c r="A17" s="80" t="s">
        <v>4</v>
      </c>
      <c r="B17" s="112">
        <f>B8*B7*0.002725</f>
        <v>0</v>
      </c>
      <c r="C17" s="113">
        <f t="shared" ref="C17:T17" si="9">C8*C7*0.002725</f>
        <v>0</v>
      </c>
      <c r="D17" s="114">
        <f t="shared" si="9"/>
        <v>0</v>
      </c>
      <c r="E17" s="114">
        <f t="shared" si="9"/>
        <v>0</v>
      </c>
      <c r="F17" s="114">
        <f t="shared" si="9"/>
        <v>0</v>
      </c>
      <c r="G17" s="114">
        <f t="shared" si="9"/>
        <v>0</v>
      </c>
      <c r="H17" s="114">
        <f t="shared" si="9"/>
        <v>0</v>
      </c>
      <c r="I17" s="114">
        <f t="shared" si="9"/>
        <v>0</v>
      </c>
      <c r="J17" s="115">
        <f t="shared" si="9"/>
        <v>0</v>
      </c>
      <c r="K17" s="115">
        <f t="shared" si="9"/>
        <v>0</v>
      </c>
      <c r="L17" s="114">
        <f t="shared" si="9"/>
        <v>0</v>
      </c>
      <c r="M17" s="114">
        <f t="shared" si="9"/>
        <v>0</v>
      </c>
      <c r="N17" s="114">
        <f t="shared" si="9"/>
        <v>0</v>
      </c>
      <c r="O17" s="115">
        <f t="shared" si="9"/>
        <v>0</v>
      </c>
      <c r="P17" s="114">
        <f t="shared" si="9"/>
        <v>0</v>
      </c>
      <c r="Q17" s="114">
        <f t="shared" si="9"/>
        <v>0</v>
      </c>
      <c r="R17" s="114">
        <f t="shared" si="9"/>
        <v>0</v>
      </c>
      <c r="S17" s="114">
        <f t="shared" si="9"/>
        <v>0</v>
      </c>
      <c r="T17" s="114">
        <f t="shared" si="9"/>
        <v>0</v>
      </c>
      <c r="U17" s="114">
        <f t="shared" ref="U17:Z17" si="10">U8*U7*0.002725</f>
        <v>0</v>
      </c>
      <c r="V17" s="114">
        <f t="shared" si="10"/>
        <v>0</v>
      </c>
      <c r="W17" s="114">
        <f t="shared" si="10"/>
        <v>0</v>
      </c>
      <c r="X17" s="114">
        <f t="shared" si="10"/>
        <v>0</v>
      </c>
      <c r="Y17" s="114">
        <f t="shared" si="10"/>
        <v>0</v>
      </c>
      <c r="Z17" s="114">
        <f t="shared" si="10"/>
        <v>0</v>
      </c>
      <c r="AA17" s="116">
        <f>AA8*AA7*0.002725</f>
        <v>0</v>
      </c>
    </row>
    <row r="18" spans="1:31" s="24" customFormat="1" ht="14.25" thickTop="1" thickBot="1">
      <c r="A18" s="93" t="s">
        <v>37</v>
      </c>
      <c r="B18" s="123" t="e">
        <f>B17/B12</f>
        <v>#DIV/0!</v>
      </c>
      <c r="C18" s="124" t="e">
        <f t="shared" ref="C18:T18" si="11">C17/C12</f>
        <v>#DIV/0!</v>
      </c>
      <c r="D18" s="125" t="e">
        <f t="shared" si="11"/>
        <v>#DIV/0!</v>
      </c>
      <c r="E18" s="125" t="e">
        <f t="shared" si="11"/>
        <v>#DIV/0!</v>
      </c>
      <c r="F18" s="125" t="e">
        <f t="shared" si="11"/>
        <v>#DIV/0!</v>
      </c>
      <c r="G18" s="125" t="e">
        <f t="shared" si="11"/>
        <v>#DIV/0!</v>
      </c>
      <c r="H18" s="125" t="e">
        <f t="shared" si="11"/>
        <v>#DIV/0!</v>
      </c>
      <c r="I18" s="125" t="e">
        <f t="shared" si="11"/>
        <v>#DIV/0!</v>
      </c>
      <c r="J18" s="126" t="e">
        <f t="shared" si="11"/>
        <v>#DIV/0!</v>
      </c>
      <c r="K18" s="126" t="e">
        <f t="shared" si="11"/>
        <v>#DIV/0!</v>
      </c>
      <c r="L18" s="125" t="e">
        <f t="shared" si="11"/>
        <v>#DIV/0!</v>
      </c>
      <c r="M18" s="125" t="e">
        <f t="shared" si="11"/>
        <v>#DIV/0!</v>
      </c>
      <c r="N18" s="125" t="e">
        <f t="shared" si="11"/>
        <v>#DIV/0!</v>
      </c>
      <c r="O18" s="125" t="e">
        <f t="shared" si="11"/>
        <v>#DIV/0!</v>
      </c>
      <c r="P18" s="125" t="e">
        <f t="shared" si="11"/>
        <v>#DIV/0!</v>
      </c>
      <c r="Q18" s="125" t="e">
        <f t="shared" si="11"/>
        <v>#DIV/0!</v>
      </c>
      <c r="R18" s="125" t="e">
        <f t="shared" si="11"/>
        <v>#DIV/0!</v>
      </c>
      <c r="S18" s="125" t="e">
        <f t="shared" si="11"/>
        <v>#DIV/0!</v>
      </c>
      <c r="T18" s="125" t="e">
        <f t="shared" si="11"/>
        <v>#DIV/0!</v>
      </c>
      <c r="U18" s="125" t="e">
        <f t="shared" ref="U18:Z18" si="12">U17/U12</f>
        <v>#DIV/0!</v>
      </c>
      <c r="V18" s="125" t="e">
        <f t="shared" si="12"/>
        <v>#DIV/0!</v>
      </c>
      <c r="W18" s="125" t="e">
        <f t="shared" si="12"/>
        <v>#DIV/0!</v>
      </c>
      <c r="X18" s="125" t="e">
        <f t="shared" si="12"/>
        <v>#DIV/0!</v>
      </c>
      <c r="Y18" s="125" t="e">
        <f t="shared" si="12"/>
        <v>#DIV/0!</v>
      </c>
      <c r="Z18" s="125" t="e">
        <f t="shared" si="12"/>
        <v>#DIV/0!</v>
      </c>
      <c r="AA18" s="127"/>
    </row>
    <row r="19" spans="1:31" s="4" customFormat="1" ht="14.25" thickTop="1" thickBot="1">
      <c r="A19" s="117" t="s">
        <v>23</v>
      </c>
      <c r="B19" s="118" t="e">
        <f>($N4*60-B9)/($N4*60)</f>
        <v>#DIV/0!</v>
      </c>
      <c r="C19" s="119" t="e">
        <f>($N4*60-C9)/($N4*60)</f>
        <v>#DIV/0!</v>
      </c>
      <c r="D19" s="120" t="e">
        <f t="shared" ref="D19:T19" si="13">($N4*60-D9)/($N4*60)</f>
        <v>#DIV/0!</v>
      </c>
      <c r="E19" s="120" t="e">
        <f t="shared" si="13"/>
        <v>#DIV/0!</v>
      </c>
      <c r="F19" s="120" t="e">
        <f t="shared" si="13"/>
        <v>#DIV/0!</v>
      </c>
      <c r="G19" s="120" t="e">
        <f t="shared" si="13"/>
        <v>#DIV/0!</v>
      </c>
      <c r="H19" s="120" t="e">
        <f t="shared" si="13"/>
        <v>#DIV/0!</v>
      </c>
      <c r="I19" s="120" t="e">
        <f t="shared" si="13"/>
        <v>#DIV/0!</v>
      </c>
      <c r="J19" s="121" t="e">
        <f t="shared" si="13"/>
        <v>#DIV/0!</v>
      </c>
      <c r="K19" s="121" t="e">
        <f t="shared" si="13"/>
        <v>#DIV/0!</v>
      </c>
      <c r="L19" s="120" t="e">
        <f t="shared" si="13"/>
        <v>#DIV/0!</v>
      </c>
      <c r="M19" s="120" t="e">
        <f t="shared" si="13"/>
        <v>#DIV/0!</v>
      </c>
      <c r="N19" s="120" t="e">
        <f t="shared" si="13"/>
        <v>#DIV/0!</v>
      </c>
      <c r="O19" s="120" t="e">
        <f t="shared" si="13"/>
        <v>#DIV/0!</v>
      </c>
      <c r="P19" s="120" t="e">
        <f t="shared" si="13"/>
        <v>#DIV/0!</v>
      </c>
      <c r="Q19" s="120" t="e">
        <f t="shared" si="13"/>
        <v>#DIV/0!</v>
      </c>
      <c r="R19" s="120" t="e">
        <f t="shared" si="13"/>
        <v>#DIV/0!</v>
      </c>
      <c r="S19" s="120" t="e">
        <f t="shared" si="13"/>
        <v>#DIV/0!</v>
      </c>
      <c r="T19" s="120" t="e">
        <f t="shared" si="13"/>
        <v>#DIV/0!</v>
      </c>
      <c r="U19" s="120" t="e">
        <f t="shared" ref="U19:Z19" si="14">($N4*60-U9)/($N4*60)</f>
        <v>#DIV/0!</v>
      </c>
      <c r="V19" s="120" t="e">
        <f t="shared" si="14"/>
        <v>#DIV/0!</v>
      </c>
      <c r="W19" s="120" t="e">
        <f t="shared" si="14"/>
        <v>#DIV/0!</v>
      </c>
      <c r="X19" s="120" t="e">
        <f t="shared" si="14"/>
        <v>#DIV/0!</v>
      </c>
      <c r="Y19" s="120" t="e">
        <f t="shared" si="14"/>
        <v>#DIV/0!</v>
      </c>
      <c r="Z19" s="120" t="e">
        <f t="shared" si="14"/>
        <v>#DIV/0!</v>
      </c>
      <c r="AA19" s="122" t="e">
        <f>($N4*60-AA9)/($N4*60)</f>
        <v>#DIV/0!</v>
      </c>
    </row>
    <row r="20" spans="1:31" s="4" customFormat="1" ht="14.25" thickTop="1" thickBot="1">
      <c r="A20" s="86" t="s">
        <v>38</v>
      </c>
      <c r="B20" s="176"/>
      <c r="C20" s="87"/>
      <c r="D20" s="88"/>
      <c r="E20" s="88"/>
      <c r="F20" s="88"/>
      <c r="G20" s="88"/>
      <c r="H20" s="88"/>
      <c r="I20" s="88"/>
      <c r="J20" s="88"/>
      <c r="K20" s="88"/>
      <c r="L20" s="89"/>
      <c r="M20" s="89"/>
      <c r="N20" s="88"/>
      <c r="O20" s="88"/>
      <c r="P20" s="89"/>
      <c r="Q20" s="88"/>
      <c r="R20" s="88"/>
      <c r="S20" s="90"/>
      <c r="T20" s="90"/>
      <c r="U20" s="88"/>
      <c r="V20" s="90"/>
      <c r="W20" s="88"/>
      <c r="X20" s="88"/>
      <c r="Y20" s="90"/>
      <c r="Z20" s="90"/>
      <c r="AA20" s="91"/>
    </row>
    <row r="21" spans="1:31" s="4" customFormat="1" ht="14.25" thickTop="1" thickBot="1">
      <c r="A21" s="80" t="s">
        <v>39</v>
      </c>
      <c r="B21" s="99" t="e">
        <f>B12/(220*B20)</f>
        <v>#DIV/0!</v>
      </c>
      <c r="C21" s="100" t="e">
        <f>C12/(220*C20)</f>
        <v>#DIV/0!</v>
      </c>
      <c r="D21" s="100" t="e">
        <f>D12/(220*D20)</f>
        <v>#DIV/0!</v>
      </c>
      <c r="E21" s="100" t="e">
        <f>E12/(220*E20)</f>
        <v>#DIV/0!</v>
      </c>
      <c r="F21" s="100" t="e">
        <f>F12/(220*F20)</f>
        <v>#DIV/0!</v>
      </c>
      <c r="G21" s="100" t="e">
        <f>G12/(220*G20)</f>
        <v>#DIV/0!</v>
      </c>
      <c r="H21" s="100" t="e">
        <f>H12/(220*H20)</f>
        <v>#DIV/0!</v>
      </c>
      <c r="I21" s="100" t="e">
        <f>I12/(220*I20)</f>
        <v>#DIV/0!</v>
      </c>
      <c r="J21" s="100" t="e">
        <f>J12/(220*J20)</f>
        <v>#DIV/0!</v>
      </c>
      <c r="K21" s="100" t="e">
        <f>K12/(220*K20)</f>
        <v>#DIV/0!</v>
      </c>
      <c r="L21" s="100" t="e">
        <f>L12/(220*L20)</f>
        <v>#DIV/0!</v>
      </c>
      <c r="M21" s="100" t="e">
        <f>M12/(220*M20)</f>
        <v>#DIV/0!</v>
      </c>
      <c r="N21" s="100" t="e">
        <f>N12/(220*N20)</f>
        <v>#DIV/0!</v>
      </c>
      <c r="O21" s="100" t="e">
        <f>O12/(220*O20)</f>
        <v>#DIV/0!</v>
      </c>
      <c r="P21" s="100" t="e">
        <f>P12/(220*P20)</f>
        <v>#DIV/0!</v>
      </c>
      <c r="Q21" s="100" t="e">
        <f>Q12/(220*Q20)</f>
        <v>#DIV/0!</v>
      </c>
      <c r="R21" s="100" t="e">
        <f>R12/(220*R20)</f>
        <v>#DIV/0!</v>
      </c>
      <c r="S21" s="100" t="e">
        <f>S12/(220*S20)</f>
        <v>#DIV/0!</v>
      </c>
      <c r="T21" s="100" t="e">
        <f>T12/(220*T20)</f>
        <v>#DIV/0!</v>
      </c>
      <c r="U21" s="100" t="e">
        <f>U12/(220*U20)</f>
        <v>#DIV/0!</v>
      </c>
      <c r="V21" s="100" t="e">
        <f>V12/(220*V20)</f>
        <v>#DIV/0!</v>
      </c>
      <c r="W21" s="100" t="e">
        <f>W12/(220*W20)</f>
        <v>#DIV/0!</v>
      </c>
      <c r="X21" s="100" t="e">
        <f>X12/(220*X20)</f>
        <v>#DIV/0!</v>
      </c>
      <c r="Y21" s="100" t="e">
        <f>Y12/(220*Y20)</f>
        <v>#DIV/0!</v>
      </c>
      <c r="Z21" s="100" t="e">
        <f>Z12/(220*Z20)</f>
        <v>#DIV/0!</v>
      </c>
      <c r="AA21" s="103"/>
    </row>
    <row r="22" spans="1:31" s="24" customFormat="1" ht="14.25" thickTop="1" thickBot="1">
      <c r="A22" s="23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8"/>
      <c r="U22" s="27"/>
      <c r="V22" s="27"/>
      <c r="W22" s="27"/>
      <c r="X22" s="27"/>
      <c r="Y22" s="27"/>
      <c r="Z22" s="28"/>
      <c r="AA22" s="29"/>
    </row>
    <row r="23" spans="1:31" s="4" customFormat="1" ht="14.25" thickTop="1" thickBot="1">
      <c r="A23" s="92" t="s">
        <v>51</v>
      </c>
      <c r="B23" s="74"/>
      <c r="C23" s="75"/>
      <c r="D23" s="76"/>
      <c r="E23" s="76"/>
      <c r="F23" s="76"/>
      <c r="G23" s="76"/>
      <c r="H23" s="76"/>
      <c r="I23" s="76"/>
      <c r="J23" s="77"/>
      <c r="K23" s="77"/>
      <c r="L23" s="76"/>
      <c r="M23" s="76"/>
      <c r="N23" s="76"/>
      <c r="O23" s="77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8"/>
    </row>
    <row r="24" spans="1:31" s="4" customFormat="1" ht="14.25" thickTop="1" thickBot="1">
      <c r="A24" s="93" t="s">
        <v>32</v>
      </c>
      <c r="B24" s="94" t="e">
        <f>(B23/1.73)/(3.14*$K5^2/4)</f>
        <v>#DIV/0!</v>
      </c>
      <c r="C24" s="95" t="e">
        <f>(C23/1.73)/(3.14*$K5^2/4)</f>
        <v>#DIV/0!</v>
      </c>
      <c r="D24" s="96" t="e">
        <f>(D23/1.73)/(3.14*$K5^2/4)</f>
        <v>#DIV/0!</v>
      </c>
      <c r="E24" s="96" t="e">
        <f>(E23/1.73)/(3.14*$K5^2/4)</f>
        <v>#DIV/0!</v>
      </c>
      <c r="F24" s="96" t="e">
        <f>(F23/1.73)/(3.14*$K5^2/4)</f>
        <v>#DIV/0!</v>
      </c>
      <c r="G24" s="96" t="e">
        <f>(G23/1.73)/(3.14*$K5^2/4)</f>
        <v>#DIV/0!</v>
      </c>
      <c r="H24" s="96" t="e">
        <f>(H23/1.73)/(3.14*$K5^2/4)</f>
        <v>#DIV/0!</v>
      </c>
      <c r="I24" s="96" t="e">
        <f>(I23/1.73)/(3.14*$K5^2/4)</f>
        <v>#DIV/0!</v>
      </c>
      <c r="J24" s="97" t="e">
        <f>(J23/1.73)/(3.14*$K5^2/4)</f>
        <v>#DIV/0!</v>
      </c>
      <c r="K24" s="97" t="e">
        <f>(K23/1.73)/(3.14*$K5^2/4)</f>
        <v>#DIV/0!</v>
      </c>
      <c r="L24" s="96" t="e">
        <f>(L23/1.73)/(3.14*$K5^2/4)</f>
        <v>#DIV/0!</v>
      </c>
      <c r="M24" s="96" t="e">
        <f>(M23/1.73)/(3.14*$K5^2/4)</f>
        <v>#DIV/0!</v>
      </c>
      <c r="N24" s="96" t="e">
        <f>(N23/1.73)/(3.14*$K5^2/4)</f>
        <v>#DIV/0!</v>
      </c>
      <c r="O24" s="97" t="e">
        <f>(O23/1.73)/(3.14*$K5^2/4)</f>
        <v>#DIV/0!</v>
      </c>
      <c r="P24" s="96" t="e">
        <f>(P23/1.73)/(3.14*$K5^2/4)</f>
        <v>#DIV/0!</v>
      </c>
      <c r="Q24" s="96" t="e">
        <f>(Q23/1.73)/(3.14*$K5^2/4)</f>
        <v>#DIV/0!</v>
      </c>
      <c r="R24" s="96" t="e">
        <f>(R23/1.73)/(3.14*$K5^2/4)</f>
        <v>#DIV/0!</v>
      </c>
      <c r="S24" s="96" t="e">
        <f>(S23/1.73)/(3.14*$K5^2/4)</f>
        <v>#DIV/0!</v>
      </c>
      <c r="T24" s="96" t="e">
        <f>(T23/1.73)/(3.14*$K5^2/4)</f>
        <v>#DIV/0!</v>
      </c>
      <c r="U24" s="96" t="e">
        <f>(U23/1.73)/(3.14*$K5^2/4)</f>
        <v>#DIV/0!</v>
      </c>
      <c r="V24" s="96" t="e">
        <f>(V23/1.73)/(3.14*$K5^2/4)</f>
        <v>#DIV/0!</v>
      </c>
      <c r="W24" s="96" t="e">
        <f>(W23/1.73)/(3.14*$K5^2/4)</f>
        <v>#DIV/0!</v>
      </c>
      <c r="X24" s="96" t="e">
        <f>(X23/1.73)/(3.14*$K5^2/4)</f>
        <v>#DIV/0!</v>
      </c>
      <c r="Y24" s="96" t="e">
        <f>(Y23/1.73)/(3.14*$K5^2/4)</f>
        <v>#DIV/0!</v>
      </c>
      <c r="Z24" s="96" t="e">
        <f>(Z23/1.73)/(3.14*$K5^2/4)</f>
        <v>#DIV/0!</v>
      </c>
      <c r="AA24" s="98" t="e">
        <f>(AA23/1.73)/(3.14*$K5^2/4)</f>
        <v>#DIV/0!</v>
      </c>
    </row>
    <row r="25" spans="1:31" s="4" customFormat="1" ht="14.25" thickTop="1" thickBot="1">
      <c r="A25" s="23"/>
      <c r="B25" s="30"/>
      <c r="C25" s="31"/>
      <c r="D25" s="32"/>
      <c r="E25" s="32"/>
      <c r="F25" s="32"/>
      <c r="G25" s="32"/>
      <c r="H25" s="32"/>
      <c r="I25" s="32"/>
      <c r="J25" s="33"/>
      <c r="K25" s="33"/>
      <c r="L25" s="34"/>
      <c r="M25" s="34"/>
      <c r="N25" s="34"/>
      <c r="O25" s="32"/>
      <c r="P25" s="32"/>
      <c r="Q25" s="32"/>
      <c r="R25" s="32"/>
      <c r="S25" s="35"/>
      <c r="T25" s="28"/>
      <c r="U25" s="32"/>
      <c r="V25" s="35"/>
      <c r="W25" s="32"/>
      <c r="X25" s="32"/>
      <c r="Y25" s="35"/>
      <c r="Z25" s="28"/>
      <c r="AA25" s="25"/>
    </row>
    <row r="26" spans="1:31" ht="14.25" thickTop="1" thickBot="1"/>
    <row r="27" spans="1:31" ht="24" customHeight="1" thickTop="1" thickBot="1">
      <c r="A27" s="36"/>
      <c r="B27" s="37"/>
      <c r="S27" s="38"/>
      <c r="T27" s="39" t="s">
        <v>24</v>
      </c>
      <c r="U27" s="140"/>
      <c r="V27" s="188" t="s">
        <v>26</v>
      </c>
      <c r="W27" s="189"/>
      <c r="X27" s="140"/>
      <c r="Y27" s="188" t="s">
        <v>28</v>
      </c>
      <c r="Z27" s="189"/>
      <c r="AA27" s="139" t="e">
        <f>((#REF!/#REF!)-1)/0.004+U27</f>
        <v>#REF!</v>
      </c>
      <c r="AB27" s="188" t="s">
        <v>6</v>
      </c>
      <c r="AC27" s="189"/>
      <c r="AD27" s="141"/>
    </row>
    <row r="28" spans="1:31" ht="24" customHeight="1" thickTop="1" thickBot="1">
      <c r="A28" s="190"/>
      <c r="B28" s="190"/>
      <c r="H28" s="17"/>
      <c r="I28" s="17"/>
      <c r="J28" s="17"/>
      <c r="K28" s="17"/>
      <c r="L28" s="17"/>
      <c r="R28" s="3"/>
      <c r="T28" s="40" t="s">
        <v>25</v>
      </c>
      <c r="U28" s="59"/>
      <c r="V28" s="194" t="s">
        <v>27</v>
      </c>
      <c r="W28" s="195"/>
      <c r="X28" s="59"/>
      <c r="Y28" s="194" t="s">
        <v>29</v>
      </c>
      <c r="Z28" s="195"/>
      <c r="AA28" s="139" t="e">
        <f>((#REF!/#REF!)-1)/0.004+U27</f>
        <v>#REF!</v>
      </c>
      <c r="AB28" s="194" t="s">
        <v>7</v>
      </c>
      <c r="AC28" s="195"/>
      <c r="AD28" s="142"/>
      <c r="AE28" s="41"/>
    </row>
    <row r="29" spans="1:31" ht="24" customHeight="1" thickTop="1" thickBot="1">
      <c r="A29" s="191" t="s">
        <v>22</v>
      </c>
      <c r="B29" s="192"/>
      <c r="C29" s="192"/>
      <c r="D29" s="192"/>
      <c r="E29" s="192"/>
      <c r="F29" s="193"/>
      <c r="H29" s="181"/>
      <c r="I29" s="181"/>
      <c r="J29" s="181"/>
      <c r="K29" s="181"/>
      <c r="L29" s="181"/>
      <c r="Y29" s="196" t="s">
        <v>30</v>
      </c>
      <c r="Z29" s="197"/>
      <c r="AA29" s="139" t="e">
        <f>((#REF!/#REF!)-1)/0.004+U27</f>
        <v>#REF!</v>
      </c>
    </row>
    <row r="30" spans="1:31" ht="13.5" thickTop="1">
      <c r="A30" s="145" t="s">
        <v>8</v>
      </c>
      <c r="B30" s="146">
        <v>4</v>
      </c>
      <c r="C30" s="146">
        <v>6</v>
      </c>
      <c r="D30" s="146">
        <v>8</v>
      </c>
      <c r="E30" s="146">
        <v>10</v>
      </c>
      <c r="F30" s="147">
        <v>12</v>
      </c>
      <c r="H30" s="42"/>
      <c r="I30" s="43"/>
      <c r="J30" s="43"/>
      <c r="K30" s="43"/>
      <c r="L30" s="43"/>
    </row>
    <row r="31" spans="1:31">
      <c r="A31" s="145" t="s">
        <v>9</v>
      </c>
      <c r="B31" s="146"/>
      <c r="C31" s="146"/>
      <c r="D31" s="146"/>
      <c r="E31" s="146"/>
      <c r="F31" s="147"/>
      <c r="H31" s="42"/>
      <c r="I31" s="43"/>
      <c r="J31" s="43"/>
      <c r="K31" s="43"/>
      <c r="L31" s="43"/>
      <c r="N31" s="37"/>
    </row>
    <row r="32" spans="1:31" ht="13.5" thickBot="1">
      <c r="A32" s="148" t="s">
        <v>10</v>
      </c>
      <c r="B32" s="186">
        <f>(1*SUM(B31:F31))/220</f>
        <v>0</v>
      </c>
      <c r="C32" s="186"/>
      <c r="D32" s="186"/>
      <c r="E32" s="186"/>
      <c r="F32" s="187"/>
      <c r="H32" s="17"/>
      <c r="I32" s="17"/>
      <c r="J32" s="17"/>
      <c r="K32" s="17"/>
      <c r="L32" s="17"/>
    </row>
    <row r="33" spans="1:253" ht="13.5" thickTop="1">
      <c r="H33" s="17"/>
      <c r="I33" s="17"/>
      <c r="J33" s="17"/>
      <c r="K33" s="17"/>
      <c r="L33" s="17"/>
    </row>
    <row r="34" spans="1:253" ht="15.75">
      <c r="A34" s="13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44"/>
      <c r="Y34" s="44"/>
      <c r="Z34" s="44"/>
    </row>
    <row r="35" spans="1:253" ht="15.75">
      <c r="A35" s="133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44"/>
      <c r="Y35" s="44"/>
      <c r="Z35" s="44"/>
    </row>
    <row r="36" spans="1:253" ht="15.75">
      <c r="A36" s="133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Y36" s="44"/>
      <c r="Z36" s="44"/>
    </row>
    <row r="37" spans="1:253" ht="15.75">
      <c r="A37" s="133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44"/>
      <c r="Y37" s="44"/>
      <c r="Z37" s="44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</row>
    <row r="38" spans="1:253" ht="15.75">
      <c r="A38" s="133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44"/>
      <c r="Y38" s="44"/>
      <c r="Z38" s="44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</row>
    <row r="39" spans="1:253">
      <c r="A39" s="17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44"/>
      <c r="Y39" s="44"/>
      <c r="Z39" s="44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</row>
    <row r="40" spans="1:253">
      <c r="A40" s="149"/>
      <c r="B40" s="150"/>
      <c r="C40" s="151"/>
      <c r="D40" s="151"/>
      <c r="E40" s="151"/>
      <c r="F40" s="151"/>
      <c r="G40" s="151"/>
      <c r="H40" s="151"/>
      <c r="I40" s="151"/>
      <c r="J40" s="151"/>
      <c r="K40" s="151"/>
      <c r="L40" s="150"/>
      <c r="M40" s="150"/>
      <c r="N40" s="150"/>
      <c r="O40" s="150"/>
      <c r="P40" s="150"/>
      <c r="Q40" s="150"/>
      <c r="R40" s="150"/>
      <c r="S40" s="152"/>
      <c r="T40" s="153"/>
      <c r="U40" s="154"/>
      <c r="V40" s="17"/>
      <c r="W40" s="17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</row>
    <row r="41" spans="1:253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2"/>
      <c r="T41" s="152"/>
      <c r="U41" s="17"/>
      <c r="V41" s="17"/>
      <c r="W41" s="17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</row>
    <row r="42" spans="1:253">
      <c r="A42" s="155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2"/>
      <c r="T42" s="152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</row>
    <row r="43" spans="1:253">
      <c r="A43" s="149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2"/>
      <c r="T43" s="152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</row>
    <row r="44" spans="1:253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2"/>
      <c r="T44" s="152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</row>
    <row r="45" spans="1:25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</row>
    <row r="46" spans="1:253" ht="14.25">
      <c r="A46" s="158"/>
      <c r="B46" s="3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34"/>
      <c r="T46" s="159"/>
      <c r="U46" s="134"/>
      <c r="V46" s="184"/>
      <c r="W46" s="184"/>
      <c r="X46" s="38"/>
      <c r="Y46" s="182"/>
      <c r="Z46" s="182"/>
      <c r="AA46" s="160"/>
      <c r="AB46" s="182"/>
      <c r="AC46" s="182"/>
      <c r="AD46" s="161"/>
      <c r="AE46" s="17"/>
      <c r="AF46" s="17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</row>
    <row r="47" spans="1:253">
      <c r="A47" s="185"/>
      <c r="B47" s="185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62"/>
      <c r="S47" s="17"/>
      <c r="T47" s="159"/>
      <c r="U47" s="134"/>
      <c r="V47" s="184"/>
      <c r="W47" s="184"/>
      <c r="X47" s="38"/>
      <c r="Y47" s="182"/>
      <c r="Z47" s="182"/>
      <c r="AA47" s="160"/>
      <c r="AB47" s="182"/>
      <c r="AC47" s="182"/>
      <c r="AD47" s="161"/>
      <c r="AE47" s="163"/>
      <c r="AF47" s="17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</row>
    <row r="48" spans="1:253">
      <c r="A48" s="181"/>
      <c r="B48" s="181"/>
      <c r="C48" s="181"/>
      <c r="D48" s="181"/>
      <c r="E48" s="181"/>
      <c r="F48" s="181"/>
      <c r="G48" s="17"/>
      <c r="H48" s="181"/>
      <c r="I48" s="181"/>
      <c r="J48" s="181"/>
      <c r="K48" s="181"/>
      <c r="L48" s="181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82"/>
      <c r="Z48" s="182"/>
      <c r="AA48" s="160"/>
      <c r="AB48" s="17"/>
      <c r="AC48" s="17"/>
      <c r="AD48" s="17"/>
      <c r="AE48" s="17"/>
      <c r="AF48" s="17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</row>
    <row r="49" spans="1:253">
      <c r="A49" s="42"/>
      <c r="B49" s="43"/>
      <c r="C49" s="43"/>
      <c r="D49" s="43"/>
      <c r="E49" s="43"/>
      <c r="F49" s="43"/>
      <c r="G49" s="17"/>
      <c r="H49" s="42"/>
      <c r="I49" s="43"/>
      <c r="J49" s="43"/>
      <c r="K49" s="43"/>
      <c r="L49" s="43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</row>
    <row r="50" spans="1:253">
      <c r="A50" s="42"/>
      <c r="B50" s="43"/>
      <c r="C50" s="43"/>
      <c r="D50" s="43"/>
      <c r="E50" s="43"/>
      <c r="F50" s="43"/>
      <c r="G50" s="17"/>
      <c r="H50" s="42"/>
      <c r="I50" s="43"/>
      <c r="J50" s="43"/>
      <c r="K50" s="43"/>
      <c r="L50" s="43"/>
      <c r="M50" s="17"/>
      <c r="N50" s="3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</row>
    <row r="51" spans="1:253">
      <c r="A51" s="164"/>
      <c r="B51" s="183"/>
      <c r="C51" s="183"/>
      <c r="D51" s="183"/>
      <c r="E51" s="183"/>
      <c r="F51" s="18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</row>
    <row r="52" spans="1:25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</row>
    <row r="53" spans="1:253" ht="15.75">
      <c r="A53" s="133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38"/>
      <c r="Y53" s="138"/>
      <c r="Z53" s="138"/>
      <c r="AA53" s="17"/>
      <c r="AB53" s="17"/>
      <c r="AC53" s="17"/>
      <c r="AD53" s="17"/>
      <c r="AE53" s="17"/>
      <c r="AF53" s="17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</row>
    <row r="54" spans="1:253"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</row>
    <row r="55" spans="1:253"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</row>
    <row r="56" spans="1:253"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</row>
    <row r="57" spans="1:253"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</row>
    <row r="58" spans="1:253"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</row>
    <row r="59" spans="1:253"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</row>
    <row r="60" spans="1:253"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</row>
    <row r="61" spans="1:253"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</row>
    <row r="62" spans="1:253"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</row>
    <row r="63" spans="1:253"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</row>
    <row r="64" spans="1:253"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</row>
    <row r="65" spans="1:253"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</row>
    <row r="66" spans="1:253"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</row>
    <row r="67" spans="1:253">
      <c r="A67" s="19" t="s">
        <v>42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</row>
    <row r="68" spans="1:253">
      <c r="A68" s="19" t="s">
        <v>43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7"/>
      <c r="Y68" s="44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</row>
    <row r="69" spans="1:253">
      <c r="A69" s="19" t="s">
        <v>44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9"/>
      <c r="Y69" s="4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</row>
    <row r="70" spans="1:253">
      <c r="A70" s="19" t="s">
        <v>45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</row>
    <row r="71" spans="1:253">
      <c r="A71" s="19" t="s">
        <v>46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44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</row>
    <row r="72" spans="1:253">
      <c r="A72" s="51" t="s">
        <v>48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1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</row>
    <row r="73" spans="1:253">
      <c r="A73" s="19" t="s">
        <v>49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1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</row>
    <row r="74" spans="1:253">
      <c r="A74" s="19" t="s">
        <v>47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47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</row>
    <row r="75" spans="1:25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</row>
    <row r="76" spans="1:253">
      <c r="A76" s="1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7"/>
      <c r="S76" s="44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</row>
    <row r="77" spans="1:25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</row>
    <row r="78" spans="1:253">
      <c r="A78" s="1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7"/>
      <c r="R78" s="44"/>
      <c r="S78" s="46"/>
      <c r="T78" s="46"/>
      <c r="U78" s="46"/>
      <c r="V78" s="46"/>
      <c r="W78" s="46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</row>
    <row r="79" spans="1:253">
      <c r="A79" s="19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9"/>
      <c r="S79" s="48"/>
      <c r="T79" s="48"/>
      <c r="U79" s="48"/>
      <c r="V79" s="48"/>
      <c r="W79" s="48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</row>
    <row r="80" spans="1:253">
      <c r="A80" s="1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1"/>
      <c r="S80" s="50"/>
      <c r="T80" s="50"/>
      <c r="U80" s="50"/>
      <c r="V80" s="50"/>
      <c r="W80" s="50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</row>
    <row r="81" spans="1:253">
      <c r="A81" s="1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1"/>
      <c r="R81" s="45"/>
      <c r="S81" s="50"/>
      <c r="T81" s="50"/>
      <c r="U81" s="50"/>
      <c r="V81" s="50"/>
      <c r="W81" s="50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</row>
    <row r="82" spans="1:253">
      <c r="A82" s="51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1"/>
      <c r="S82" s="50"/>
      <c r="T82" s="50"/>
      <c r="U82" s="50"/>
      <c r="V82" s="50"/>
      <c r="W82" s="50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</row>
    <row r="83" spans="1:253">
      <c r="A83" s="19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1"/>
      <c r="S83" s="52"/>
      <c r="T83" s="52"/>
      <c r="U83" s="52"/>
      <c r="V83" s="52"/>
      <c r="W83" s="52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</row>
    <row r="84" spans="1:253">
      <c r="A84" s="19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47"/>
      <c r="S84" s="53"/>
      <c r="T84" s="53"/>
      <c r="U84" s="53"/>
      <c r="V84" s="53"/>
      <c r="W84" s="53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</row>
    <row r="85" spans="1:253"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</row>
    <row r="86" spans="1:253"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</row>
    <row r="87" spans="1:253"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</row>
    <row r="88" spans="1:253"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</row>
    <row r="89" spans="1:253"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</row>
    <row r="90" spans="1:253"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</row>
    <row r="91" spans="1:253"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</row>
    <row r="92" spans="1:253"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</row>
    <row r="93" spans="1:253"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</row>
    <row r="94" spans="1:253"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</row>
    <row r="95" spans="1:253"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</row>
    <row r="96" spans="1:253"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</row>
  </sheetData>
  <sheetProtection selectLockedCells="1" selectUnlockedCells="1"/>
  <mergeCells count="38">
    <mergeCell ref="C2:D2"/>
    <mergeCell ref="F2:G2"/>
    <mergeCell ref="I2:J2"/>
    <mergeCell ref="L2:M2"/>
    <mergeCell ref="C3:D3"/>
    <mergeCell ref="F3:G3"/>
    <mergeCell ref="I3:J3"/>
    <mergeCell ref="L3:M3"/>
    <mergeCell ref="C4:D4"/>
    <mergeCell ref="F4:G4"/>
    <mergeCell ref="I4:J4"/>
    <mergeCell ref="L4:M4"/>
    <mergeCell ref="C5:D5"/>
    <mergeCell ref="F5:G5"/>
    <mergeCell ref="I5:J5"/>
    <mergeCell ref="L5:M5"/>
    <mergeCell ref="H29:L29"/>
    <mergeCell ref="B32:F32"/>
    <mergeCell ref="V27:W27"/>
    <mergeCell ref="Y27:Z27"/>
    <mergeCell ref="AB27:AC27"/>
    <mergeCell ref="A28:B28"/>
    <mergeCell ref="A29:F29"/>
    <mergeCell ref="V28:W28"/>
    <mergeCell ref="Y28:Z28"/>
    <mergeCell ref="Y29:Z29"/>
    <mergeCell ref="AB28:AC28"/>
    <mergeCell ref="AB46:AC46"/>
    <mergeCell ref="A47:B47"/>
    <mergeCell ref="V47:W47"/>
    <mergeCell ref="Y47:Z47"/>
    <mergeCell ref="AB47:AC47"/>
    <mergeCell ref="A48:F48"/>
    <mergeCell ref="H48:L48"/>
    <mergeCell ref="Y48:Z48"/>
    <mergeCell ref="B51:F51"/>
    <mergeCell ref="V46:W46"/>
    <mergeCell ref="Y46:Z46"/>
  </mergeCells>
  <pageMargins left="0.75" right="0.75" top="0.86111111111111116" bottom="1" header="0.51180555555555551" footer="0.51180555555555551"/>
  <pageSetup paperSize="9" firstPageNumber="0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A44"/>
  <sheetViews>
    <sheetView showGridLines="0" workbookViewId="0">
      <selection activeCell="R16" sqref="R16"/>
    </sheetView>
  </sheetViews>
  <sheetFormatPr baseColWidth="10" defaultRowHeight="12.75"/>
  <cols>
    <col min="1" max="1" width="4.42578125" customWidth="1"/>
  </cols>
  <sheetData>
    <row r="2" spans="1:1">
      <c r="A2" s="1"/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Informe</vt:lpstr>
      <vt:lpstr>Graficos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achaij</dc:creator>
  <cp:lastModifiedBy>scasas</cp:lastModifiedBy>
  <cp:lastPrinted>2012-07-12T12:15:10Z</cp:lastPrinted>
  <dcterms:created xsi:type="dcterms:W3CDTF">2011-03-15T16:59:10Z</dcterms:created>
  <dcterms:modified xsi:type="dcterms:W3CDTF">2025-12-09T16:33:48Z</dcterms:modified>
</cp:coreProperties>
</file>