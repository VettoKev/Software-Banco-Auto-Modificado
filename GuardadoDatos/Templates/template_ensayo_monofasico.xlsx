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60" yWindow="4980" windowWidth="11940" windowHeight="5040" tabRatio="541" activeTab="1"/>
  </bookViews>
  <sheets>
    <sheet name="Datos" sheetId="2" r:id="rId1"/>
    <sheet name="Informe" sheetId="1" r:id="rId2"/>
    <sheet name="Graficos" sheetId="3" r:id="rId3"/>
  </sheets>
  <calcPr calcId="125725"/>
</workbook>
</file>

<file path=xl/calcChain.xml><?xml version="1.0" encoding="utf-8"?>
<calcChain xmlns="http://schemas.openxmlformats.org/spreadsheetml/2006/main">
  <c r="AA45" i="1"/>
  <c r="AA44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B20"/>
  <c r="B34"/>
  <c r="Q16"/>
  <c r="P16"/>
  <c r="O16"/>
  <c r="N16"/>
  <c r="M16"/>
  <c r="L16"/>
  <c r="K16"/>
  <c r="J16"/>
  <c r="I16"/>
  <c r="H16"/>
  <c r="G16"/>
  <c r="F16"/>
  <c r="E16"/>
  <c r="D16"/>
  <c r="C16"/>
  <c r="B16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W12"/>
  <c r="X12"/>
  <c r="Y12"/>
  <c r="Z12"/>
  <c r="AA12"/>
  <c r="B12"/>
  <c r="Z15" l="1"/>
  <c r="B49"/>
  <c r="AA34" l="1"/>
  <c r="Z34"/>
  <c r="Y34"/>
  <c r="X34"/>
  <c r="W34"/>
  <c r="V34"/>
  <c r="U34"/>
  <c r="T34"/>
  <c r="S34"/>
  <c r="R34"/>
  <c r="Q34"/>
  <c r="P34"/>
  <c r="O34"/>
  <c r="N34"/>
  <c r="M34"/>
  <c r="L34"/>
  <c r="K34"/>
  <c r="J34"/>
  <c r="I34"/>
  <c r="H34"/>
  <c r="G34"/>
  <c r="F34"/>
  <c r="E34"/>
  <c r="D34"/>
  <c r="C34"/>
  <c r="AA31" l="1"/>
  <c r="Z31"/>
  <c r="Y31"/>
  <c r="X31"/>
  <c r="W31"/>
  <c r="V31"/>
  <c r="U31"/>
  <c r="T31"/>
  <c r="S31"/>
  <c r="R31"/>
  <c r="Q31"/>
  <c r="P31"/>
  <c r="O31"/>
  <c r="N31"/>
  <c r="M31"/>
  <c r="L31"/>
  <c r="K31"/>
  <c r="J31"/>
  <c r="I31"/>
  <c r="H31"/>
  <c r="G31"/>
  <c r="F31"/>
  <c r="E31"/>
  <c r="D31"/>
  <c r="C31"/>
  <c r="B31"/>
  <c r="AA29"/>
  <c r="Z29"/>
  <c r="Y29"/>
  <c r="B29"/>
  <c r="AA21" l="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A18" l="1"/>
  <c r="Z18"/>
  <c r="Y18"/>
  <c r="B18" l="1"/>
  <c r="AA22" l="1"/>
  <c r="AA19"/>
  <c r="Z22"/>
  <c r="Z19"/>
  <c r="Y22"/>
  <c r="Y19"/>
  <c r="X22"/>
  <c r="W22"/>
  <c r="V22"/>
  <c r="U22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A24" l="1"/>
  <c r="AA23"/>
  <c r="Z24"/>
  <c r="Z23"/>
  <c r="D22"/>
  <c r="C22"/>
  <c r="B22"/>
  <c r="B19"/>
  <c r="Y24"/>
  <c r="Y23"/>
  <c r="Z17"/>
  <c r="K3" s="1"/>
  <c r="X23"/>
  <c r="X24"/>
  <c r="W23"/>
  <c r="W24"/>
  <c r="V23"/>
  <c r="V24"/>
  <c r="U24"/>
  <c r="U23"/>
  <c r="T22"/>
  <c r="S22"/>
  <c r="R22"/>
  <c r="Q22"/>
  <c r="P22"/>
  <c r="O22"/>
  <c r="N22"/>
  <c r="M22"/>
  <c r="L22"/>
  <c r="K22"/>
  <c r="J22"/>
  <c r="I22"/>
  <c r="H22"/>
  <c r="G22"/>
  <c r="F22"/>
  <c r="E22"/>
  <c r="H5"/>
  <c r="H4"/>
  <c r="K27" s="1"/>
  <c r="Z38" l="1"/>
  <c r="B39"/>
  <c r="Z39"/>
  <c r="AA32"/>
  <c r="AA33"/>
  <c r="AA25"/>
  <c r="C29"/>
  <c r="C18"/>
  <c r="C19" s="1"/>
  <c r="Z32"/>
  <c r="Z33"/>
  <c r="Z25"/>
  <c r="Y33"/>
  <c r="Y32"/>
  <c r="Y25"/>
  <c r="C24"/>
  <c r="C23"/>
  <c r="B23"/>
  <c r="B24"/>
  <c r="D24"/>
  <c r="D23"/>
  <c r="U25"/>
  <c r="AA28"/>
  <c r="W28"/>
  <c r="R28"/>
  <c r="N28"/>
  <c r="J28"/>
  <c r="F28"/>
  <c r="B28"/>
  <c r="T28"/>
  <c r="L28"/>
  <c r="D28"/>
  <c r="Z28"/>
  <c r="M28"/>
  <c r="E28"/>
  <c r="X28"/>
  <c r="S28"/>
  <c r="O28"/>
  <c r="K28"/>
  <c r="G28"/>
  <c r="C28"/>
  <c r="Y28"/>
  <c r="P28"/>
  <c r="H28"/>
  <c r="V28"/>
  <c r="U28" s="1"/>
  <c r="Q28"/>
  <c r="I28"/>
  <c r="X27"/>
  <c r="T27"/>
  <c r="P27"/>
  <c r="G27"/>
  <c r="C27"/>
  <c r="Z27"/>
  <c r="R27"/>
  <c r="I27"/>
  <c r="AA27"/>
  <c r="S27"/>
  <c r="J27"/>
  <c r="B27"/>
  <c r="Y27"/>
  <c r="U27"/>
  <c r="Q27"/>
  <c r="M27"/>
  <c r="L27" s="1"/>
  <c r="H27"/>
  <c r="D27"/>
  <c r="V27"/>
  <c r="N27"/>
  <c r="E27"/>
  <c r="W27"/>
  <c r="O27"/>
  <c r="F27"/>
  <c r="AA15"/>
  <c r="W15"/>
  <c r="S15"/>
  <c r="O15"/>
  <c r="K15"/>
  <c r="G15"/>
  <c r="C15"/>
  <c r="E15"/>
  <c r="X15"/>
  <c r="T15"/>
  <c r="P15"/>
  <c r="L15"/>
  <c r="H15"/>
  <c r="D15"/>
  <c r="Y15"/>
  <c r="U15"/>
  <c r="Q15"/>
  <c r="M15"/>
  <c r="I15"/>
  <c r="V15"/>
  <c r="R15"/>
  <c r="N15"/>
  <c r="J15"/>
  <c r="F15"/>
  <c r="B15"/>
  <c r="X33"/>
  <c r="X25"/>
  <c r="X32"/>
  <c r="W33"/>
  <c r="W25"/>
  <c r="W32"/>
  <c r="V32"/>
  <c r="V33"/>
  <c r="V25"/>
  <c r="U32"/>
  <c r="U33"/>
  <c r="T24"/>
  <c r="T23"/>
  <c r="S23"/>
  <c r="S24"/>
  <c r="R23"/>
  <c r="R24"/>
  <c r="Q23"/>
  <c r="Q24"/>
  <c r="P23"/>
  <c r="P24"/>
  <c r="O24"/>
  <c r="O23"/>
  <c r="N24"/>
  <c r="N23"/>
  <c r="M23"/>
  <c r="M24"/>
  <c r="L24"/>
  <c r="L23"/>
  <c r="K24"/>
  <c r="K23"/>
  <c r="J24"/>
  <c r="J23"/>
  <c r="I24"/>
  <c r="I23"/>
  <c r="H24"/>
  <c r="H23"/>
  <c r="G24"/>
  <c r="G23"/>
  <c r="F23"/>
  <c r="F24"/>
  <c r="E24"/>
  <c r="E23"/>
  <c r="B32" l="1"/>
  <c r="B25"/>
  <c r="B33"/>
  <c r="D33"/>
  <c r="D25"/>
  <c r="D32"/>
  <c r="C32"/>
  <c r="C25"/>
  <c r="C33"/>
  <c r="B35"/>
  <c r="B38"/>
  <c r="AA35" s="1"/>
  <c r="Z35" s="1"/>
  <c r="B17"/>
  <c r="M39"/>
  <c r="M38"/>
  <c r="P39"/>
  <c r="P38"/>
  <c r="O38"/>
  <c r="O39"/>
  <c r="N39"/>
  <c r="N38"/>
  <c r="Y39"/>
  <c r="Y38"/>
  <c r="Y35"/>
  <c r="Y17"/>
  <c r="AA39"/>
  <c r="AA38"/>
  <c r="AA17"/>
  <c r="F38"/>
  <c r="F39"/>
  <c r="V39"/>
  <c r="V38"/>
  <c r="Q38"/>
  <c r="Q39"/>
  <c r="D39"/>
  <c r="D38"/>
  <c r="T39"/>
  <c r="T38"/>
  <c r="C38"/>
  <c r="C35"/>
  <c r="C39"/>
  <c r="C17"/>
  <c r="S38"/>
  <c r="S39"/>
  <c r="R38"/>
  <c r="R39"/>
  <c r="E38"/>
  <c r="E39"/>
  <c r="I39"/>
  <c r="I38"/>
  <c r="L38"/>
  <c r="L39"/>
  <c r="K38"/>
  <c r="K39"/>
  <c r="J39"/>
  <c r="J38"/>
  <c r="U38"/>
  <c r="U39"/>
  <c r="H39"/>
  <c r="H38"/>
  <c r="X38"/>
  <c r="X39"/>
  <c r="G38"/>
  <c r="G39"/>
  <c r="W38"/>
  <c r="W39"/>
  <c r="T25"/>
  <c r="L25"/>
  <c r="T32"/>
  <c r="T33"/>
  <c r="S25"/>
  <c r="S33"/>
  <c r="S32"/>
  <c r="R33"/>
  <c r="R25"/>
  <c r="R32"/>
  <c r="Q32"/>
  <c r="Q25"/>
  <c r="Q33"/>
  <c r="P32"/>
  <c r="P33"/>
  <c r="P25"/>
  <c r="O32"/>
  <c r="O25"/>
  <c r="O33"/>
  <c r="N32"/>
  <c r="N33"/>
  <c r="N25"/>
  <c r="M33"/>
  <c r="M25"/>
  <c r="M32"/>
  <c r="L32"/>
  <c r="L33"/>
  <c r="K33"/>
  <c r="K32"/>
  <c r="K25"/>
  <c r="J33"/>
  <c r="J25"/>
  <c r="J32"/>
  <c r="I33"/>
  <c r="I25"/>
  <c r="I32"/>
  <c r="H33"/>
  <c r="H25"/>
  <c r="H32"/>
  <c r="G33"/>
  <c r="G32"/>
  <c r="G25"/>
  <c r="F33"/>
  <c r="F25"/>
  <c r="F32"/>
  <c r="E33"/>
  <c r="E32"/>
  <c r="E25"/>
  <c r="T18"/>
  <c r="T19" s="1"/>
  <c r="Q18"/>
  <c r="Q19" s="1"/>
  <c r="S18"/>
  <c r="S19" s="1"/>
  <c r="R18"/>
  <c r="R19" s="1"/>
  <c r="V18"/>
  <c r="V19" s="1"/>
  <c r="X18"/>
  <c r="X19" s="1"/>
  <c r="U18"/>
  <c r="U19" s="1"/>
  <c r="W18"/>
  <c r="W19" s="1"/>
  <c r="Q29"/>
  <c r="U29"/>
  <c r="D29"/>
  <c r="T29"/>
  <c r="X29"/>
  <c r="S29"/>
  <c r="W29"/>
  <c r="R29"/>
  <c r="V29"/>
  <c r="E29" l="1"/>
  <c r="E18"/>
  <c r="E35" s="1"/>
  <c r="D18"/>
  <c r="D17" s="1"/>
  <c r="W17"/>
  <c r="U17"/>
  <c r="X17"/>
  <c r="V17"/>
  <c r="R17"/>
  <c r="S35"/>
  <c r="Q17"/>
  <c r="T35"/>
  <c r="W35"/>
  <c r="U35"/>
  <c r="X35"/>
  <c r="V35"/>
  <c r="R35"/>
  <c r="S17"/>
  <c r="Q35"/>
  <c r="T17"/>
  <c r="D35" l="1"/>
  <c r="F29"/>
  <c r="F18"/>
  <c r="E17"/>
  <c r="E19"/>
  <c r="D19"/>
  <c r="F19" l="1"/>
  <c r="F35"/>
  <c r="F17"/>
  <c r="G29"/>
  <c r="G18"/>
  <c r="H18" l="1"/>
  <c r="H29"/>
  <c r="G17"/>
  <c r="G35"/>
  <c r="G19"/>
  <c r="H35" l="1"/>
  <c r="H19"/>
  <c r="H17"/>
  <c r="I18"/>
  <c r="I29"/>
  <c r="J18" l="1"/>
  <c r="J29"/>
  <c r="I19"/>
  <c r="I35"/>
  <c r="I17"/>
  <c r="J19" l="1"/>
  <c r="J17"/>
  <c r="J35"/>
  <c r="K29"/>
  <c r="K18"/>
  <c r="L18" l="1"/>
  <c r="L19" s="1"/>
  <c r="L29"/>
  <c r="K35"/>
  <c r="K19"/>
  <c r="K17"/>
  <c r="M18" l="1"/>
  <c r="M29"/>
  <c r="L17"/>
  <c r="L35"/>
  <c r="N29" l="1"/>
  <c r="N18"/>
  <c r="M17"/>
  <c r="M19"/>
  <c r="M35"/>
  <c r="N17" l="1"/>
  <c r="N19"/>
  <c r="N35"/>
  <c r="O18"/>
  <c r="O29"/>
  <c r="P18" l="1"/>
  <c r="P29"/>
  <c r="O17"/>
  <c r="O35"/>
  <c r="O19"/>
  <c r="P17" l="1"/>
  <c r="P19"/>
  <c r="P35"/>
</calcChain>
</file>

<file path=xl/comments1.xml><?xml version="1.0" encoding="utf-8"?>
<comments xmlns="http://schemas.openxmlformats.org/spreadsheetml/2006/main">
  <authors>
    <author/>
  </authors>
  <commentList>
    <comment ref="A29" authorId="0">
      <text>
        <r>
          <rPr>
            <sz val="10"/>
            <rFont val="Arial"/>
            <family val="2"/>
          </rPr>
          <t>scavicchioli:</t>
        </r>
      </text>
    </comment>
  </commentList>
</comments>
</file>

<file path=xl/sharedStrings.xml><?xml version="1.0" encoding="utf-8"?>
<sst xmlns="http://schemas.openxmlformats.org/spreadsheetml/2006/main" count="77" uniqueCount="75">
  <si>
    <t>Resist. Bobinado principal inicial</t>
  </si>
  <si>
    <t>Resist. Bobinado principal final</t>
  </si>
  <si>
    <t>Resist. Bobinado principal prom.</t>
  </si>
  <si>
    <t>Diametro alambre del bob.princ. (mm)</t>
  </si>
  <si>
    <t>Diametro de la turbina (mm)</t>
  </si>
  <si>
    <t>Resist. Bobinado auxiliar inicial</t>
  </si>
  <si>
    <t>Resist. Bobinado auxiliar final</t>
  </si>
  <si>
    <t>Resist. Bobinado auxiliar prom.</t>
  </si>
  <si>
    <t>Diametro alambre del bob.aux. (mm)</t>
  </si>
  <si>
    <t xml:space="preserve">Caudal </t>
  </si>
  <si>
    <t>Ps-Pe</t>
  </si>
  <si>
    <t>rpm</t>
  </si>
  <si>
    <t>It</t>
  </si>
  <si>
    <t>Dens. Bp</t>
  </si>
  <si>
    <t>Ia</t>
  </si>
  <si>
    <t>Dens. Ba</t>
  </si>
  <si>
    <t>Pot. Cu</t>
  </si>
  <si>
    <t>Pot. Total</t>
  </si>
  <si>
    <t>Pot.Mec.+Fe</t>
  </si>
  <si>
    <t>Pot. Efectiva</t>
  </si>
  <si>
    <t>Cosen φ</t>
  </si>
  <si>
    <t>Resbalam.</t>
  </si>
  <si>
    <t>Ángulo φ(It)</t>
  </si>
  <si>
    <t>Ángulo φ(Ip)</t>
  </si>
  <si>
    <t>Ángulo φ(Ia)</t>
  </si>
  <si>
    <t>Ángulo(Ip-Ia)</t>
  </si>
  <si>
    <t>U capacitor</t>
  </si>
  <si>
    <t>Pcu BP</t>
  </si>
  <si>
    <t>Pcu BA</t>
  </si>
  <si>
    <t>Tensión Ba</t>
  </si>
  <si>
    <t>Esp/Volt Ba</t>
  </si>
  <si>
    <t>Ängulo (UBa/Ia)</t>
  </si>
  <si>
    <t>Ängulo (Uc/Ia)</t>
  </si>
  <si>
    <r>
      <t>Temperatura ambiente inicial (</t>
    </r>
    <r>
      <rPr>
        <sz val="8"/>
        <rFont val="Calibri"/>
        <family val="2"/>
      </rPr>
      <t>°</t>
    </r>
    <r>
      <rPr>
        <sz val="8"/>
        <rFont val="Arial"/>
        <family val="2"/>
      </rPr>
      <t>C)</t>
    </r>
  </si>
  <si>
    <t>Temperatura del agua inicial (°C)</t>
  </si>
  <si>
    <t>Temperatura final del bob. principal (°C)</t>
  </si>
  <si>
    <t>Hora de inicio</t>
  </si>
  <si>
    <r>
      <t>Temperatura ambiente final (</t>
    </r>
    <r>
      <rPr>
        <sz val="8"/>
        <rFont val="Calibri"/>
        <family val="2"/>
      </rPr>
      <t>°</t>
    </r>
    <r>
      <rPr>
        <sz val="8"/>
        <rFont val="Arial"/>
        <family val="2"/>
      </rPr>
      <t>C)</t>
    </r>
  </si>
  <si>
    <t>Temperatura del agua final (°C)</t>
  </si>
  <si>
    <t xml:space="preserve">Temperatura final del bob. auxiliar  (°C) </t>
  </si>
  <si>
    <t xml:space="preserve">Hora de finalización </t>
  </si>
  <si>
    <t>Bobinado Principal</t>
  </si>
  <si>
    <t>Bobinado Auxiliar</t>
  </si>
  <si>
    <t>Pasos</t>
  </si>
  <si>
    <t>Espiras</t>
  </si>
  <si>
    <r>
      <t>Esp/Volt Bp</t>
    </r>
    <r>
      <rPr>
        <sz val="10"/>
        <rFont val="Arial"/>
        <family val="2"/>
      </rPr>
      <t>:</t>
    </r>
  </si>
  <si>
    <t>U línea (V)</t>
  </si>
  <si>
    <t>Capacitor nominal (uF)</t>
  </si>
  <si>
    <t>Medición inicial del capacitor (uF)</t>
  </si>
  <si>
    <t>Medición final del capacitor (uF)</t>
  </si>
  <si>
    <t xml:space="preserve"> </t>
  </si>
  <si>
    <t>Pérd. Mec.+Pérd.Fe (en vacío a Un)</t>
  </si>
  <si>
    <t>Vacío</t>
  </si>
  <si>
    <t>Pot. BP</t>
  </si>
  <si>
    <t>Pot. BA</t>
  </si>
  <si>
    <r>
      <t>Esp/Volt Bp</t>
    </r>
    <r>
      <rPr>
        <sz val="9"/>
        <rFont val="Arial"/>
        <family val="2"/>
      </rPr>
      <t>:</t>
    </r>
  </si>
  <si>
    <t>Rend. Motor</t>
  </si>
  <si>
    <t>Rend. Bomba</t>
  </si>
  <si>
    <t xml:space="preserve"> (Turb./Carac.)</t>
  </si>
  <si>
    <t>Rend. Total</t>
  </si>
  <si>
    <t>Pot. Mecán.</t>
  </si>
  <si>
    <t>En frío</t>
  </si>
  <si>
    <t>F axial [Kg]</t>
  </si>
  <si>
    <t>Motor</t>
  </si>
  <si>
    <t>Capacitor [uF]</t>
  </si>
  <si>
    <t>Paquete</t>
  </si>
  <si>
    <t>Control</t>
  </si>
  <si>
    <t>Turbina</t>
  </si>
  <si>
    <t>Caracol</t>
  </si>
  <si>
    <t>Tension
[V]</t>
  </si>
  <si>
    <t>Frecuencia
[Hz]</t>
  </si>
  <si>
    <t>Bobinado</t>
  </si>
  <si>
    <t>Ø
Turbina [mm]</t>
  </si>
  <si>
    <t>Ip</t>
  </si>
  <si>
    <t>Comentarios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</si>
</sst>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10"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42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55"/>
      </patternFill>
    </fill>
    <fill>
      <patternFill patternType="solid">
        <fgColor theme="6" tint="0.79998168889431442"/>
        <bgColor indexed="2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indexed="42"/>
      </patternFill>
    </fill>
    <fill>
      <patternFill patternType="solid">
        <fgColor theme="5" tint="0.79998168889431442"/>
        <bgColor indexed="42"/>
      </patternFill>
    </fill>
    <fill>
      <patternFill patternType="solid">
        <fgColor theme="5" tint="0.79998168889431442"/>
        <bgColor indexed="3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42"/>
      </patternFill>
    </fill>
    <fill>
      <patternFill patternType="solid">
        <fgColor theme="5" tint="0.39997558519241921"/>
        <bgColor indexed="55"/>
      </patternFill>
    </fill>
    <fill>
      <patternFill patternType="solid">
        <fgColor theme="5" tint="0.39997558519241921"/>
        <bgColor indexed="31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0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medium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ck">
        <color indexed="8"/>
      </top>
      <bottom style="medium">
        <color indexed="8"/>
      </bottom>
      <diagonal/>
    </border>
    <border>
      <left/>
      <right/>
      <top style="thick">
        <color indexed="8"/>
      </top>
      <bottom style="medium">
        <color indexed="8"/>
      </bottom>
      <diagonal/>
    </border>
    <border>
      <left/>
      <right style="thick">
        <color indexed="8"/>
      </right>
      <top style="thick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ck">
        <color indexed="8"/>
      </top>
      <bottom style="thick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8"/>
      </left>
      <right style="medium">
        <color indexed="8"/>
      </right>
      <top style="thick">
        <color indexed="8"/>
      </top>
      <bottom style="medium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thick">
        <color indexed="8"/>
      </bottom>
      <diagonal/>
    </border>
    <border>
      <left style="thick">
        <color indexed="8"/>
      </left>
      <right style="medium">
        <color indexed="8"/>
      </right>
      <top/>
      <bottom style="thick">
        <color auto="1"/>
      </bottom>
      <diagonal/>
    </border>
    <border>
      <left style="medium">
        <color indexed="8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8"/>
      </left>
      <right/>
      <top style="thick">
        <color indexed="8"/>
      </top>
      <bottom style="thick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ck">
        <color indexed="8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ck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ck">
        <color indexed="8"/>
      </bottom>
      <diagonal/>
    </border>
    <border>
      <left style="medium">
        <color indexed="64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ck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206">
    <xf numFmtId="0" fontId="0" fillId="0" borderId="0" xfId="0"/>
    <xf numFmtId="22" fontId="0" fillId="0" borderId="0" xfId="0" applyNumberFormat="1"/>
    <xf numFmtId="21" fontId="0" fillId="0" borderId="0" xfId="0" applyNumberFormat="1"/>
    <xf numFmtId="0" fontId="0" fillId="2" borderId="0" xfId="2" applyFont="1" applyFill="1"/>
    <xf numFmtId="0" fontId="7" fillId="2" borderId="0" xfId="2" applyFill="1"/>
    <xf numFmtId="0" fontId="7" fillId="2" borderId="0" xfId="1" applyFill="1"/>
    <xf numFmtId="0" fontId="1" fillId="3" borderId="6" xfId="2" applyFont="1" applyFill="1" applyBorder="1" applyAlignment="1">
      <alignment horizontal="center" vertical="center" wrapText="1"/>
    </xf>
    <xf numFmtId="0" fontId="7" fillId="2" borderId="17" xfId="2" applyFill="1" applyBorder="1"/>
    <xf numFmtId="0" fontId="8" fillId="2" borderId="0" xfId="2" applyFont="1" applyFill="1" applyBorder="1" applyAlignment="1">
      <alignment vertical="center"/>
    </xf>
    <xf numFmtId="20" fontId="1" fillId="2" borderId="0" xfId="2" applyNumberFormat="1" applyFont="1" applyFill="1" applyBorder="1" applyAlignment="1">
      <alignment horizontal="center" vertical="center" wrapText="1"/>
    </xf>
    <xf numFmtId="2" fontId="1" fillId="2" borderId="0" xfId="2" applyNumberFormat="1" applyFont="1" applyFill="1" applyBorder="1" applyAlignment="1">
      <alignment horizontal="center" vertical="center" wrapText="1"/>
    </xf>
    <xf numFmtId="0" fontId="5" fillId="2" borderId="0" xfId="2" applyFont="1" applyFill="1" applyBorder="1" applyAlignment="1">
      <alignment horizontal="center" vertical="center"/>
    </xf>
    <xf numFmtId="0" fontId="7" fillId="2" borderId="0" xfId="2" applyFill="1" applyBorder="1"/>
    <xf numFmtId="0" fontId="1" fillId="3" borderId="13" xfId="2" applyFont="1" applyFill="1" applyBorder="1" applyAlignment="1">
      <alignment horizontal="center" vertical="center" wrapText="1"/>
    </xf>
    <xf numFmtId="0" fontId="7" fillId="2" borderId="18" xfId="2" applyFill="1" applyBorder="1"/>
    <xf numFmtId="0" fontId="7" fillId="2" borderId="19" xfId="2" applyFill="1" applyBorder="1" applyAlignment="1">
      <alignment vertical="center"/>
    </xf>
    <xf numFmtId="0" fontId="1" fillId="2" borderId="19" xfId="2" applyFont="1" applyFill="1" applyBorder="1" applyAlignment="1">
      <alignment horizontal="center" vertical="center" wrapText="1"/>
    </xf>
    <xf numFmtId="2" fontId="1" fillId="2" borderId="19" xfId="2" applyNumberFormat="1" applyFont="1" applyFill="1" applyBorder="1" applyAlignment="1">
      <alignment horizontal="center" vertical="center" wrapText="1"/>
    </xf>
    <xf numFmtId="0" fontId="0" fillId="2" borderId="19" xfId="2" applyFont="1" applyFill="1" applyBorder="1" applyAlignment="1">
      <alignment horizontal="center" vertical="center"/>
    </xf>
    <xf numFmtId="0" fontId="7" fillId="2" borderId="19" xfId="2" applyFill="1" applyBorder="1" applyAlignment="1">
      <alignment horizontal="center" vertical="center"/>
    </xf>
    <xf numFmtId="0" fontId="7" fillId="2" borderId="19" xfId="2" applyFill="1" applyBorder="1"/>
    <xf numFmtId="0" fontId="5" fillId="2" borderId="0" xfId="2" applyFont="1" applyFill="1" applyAlignment="1">
      <alignment horizontal="center" vertical="center"/>
    </xf>
    <xf numFmtId="0" fontId="5" fillId="2" borderId="0" xfId="2" applyFont="1" applyFill="1" applyBorder="1"/>
    <xf numFmtId="164" fontId="7" fillId="4" borderId="0" xfId="2" applyNumberFormat="1" applyFill="1" applyBorder="1" applyAlignment="1">
      <alignment horizontal="center" vertical="center"/>
    </xf>
    <xf numFmtId="0" fontId="1" fillId="3" borderId="8" xfId="2" applyFont="1" applyFill="1" applyBorder="1" applyAlignment="1">
      <alignment horizontal="center" vertical="center" wrapText="1"/>
    </xf>
    <xf numFmtId="0" fontId="7" fillId="2" borderId="15" xfId="2" applyFont="1" applyFill="1" applyBorder="1" applyAlignment="1">
      <alignment horizontal="center"/>
    </xf>
    <xf numFmtId="0" fontId="7" fillId="2" borderId="1" xfId="2" applyFill="1" applyBorder="1" applyAlignment="1">
      <alignment horizontal="center"/>
    </xf>
    <xf numFmtId="0" fontId="7" fillId="2" borderId="2" xfId="2" applyFill="1" applyBorder="1" applyAlignment="1">
      <alignment horizontal="center"/>
    </xf>
    <xf numFmtId="0" fontId="7" fillId="2" borderId="14" xfId="2" applyFont="1" applyFill="1" applyBorder="1" applyAlignment="1">
      <alignment horizontal="center"/>
    </xf>
    <xf numFmtId="0" fontId="7" fillId="2" borderId="3" xfId="2" applyFill="1" applyBorder="1" applyAlignment="1">
      <alignment horizontal="center"/>
    </xf>
    <xf numFmtId="0" fontId="7" fillId="2" borderId="4" xfId="2" applyFill="1" applyBorder="1" applyAlignment="1">
      <alignment horizontal="center"/>
    </xf>
    <xf numFmtId="0" fontId="7" fillId="2" borderId="16" xfId="2" applyFont="1" applyFill="1" applyBorder="1" applyAlignment="1">
      <alignment horizontal="center"/>
    </xf>
    <xf numFmtId="0" fontId="7" fillId="2" borderId="11" xfId="2" applyFill="1" applyBorder="1" applyAlignment="1">
      <alignment horizontal="center"/>
    </xf>
    <xf numFmtId="0" fontId="7" fillId="2" borderId="12" xfId="2" applyFill="1" applyBorder="1" applyAlignment="1">
      <alignment horizontal="center"/>
    </xf>
    <xf numFmtId="0" fontId="6" fillId="2" borderId="5" xfId="2" applyFont="1" applyFill="1" applyBorder="1"/>
    <xf numFmtId="164" fontId="7" fillId="2" borderId="0" xfId="2" applyNumberFormat="1" applyFill="1" applyAlignment="1">
      <alignment horizontal="center" vertical="center"/>
    </xf>
    <xf numFmtId="1" fontId="7" fillId="2" borderId="0" xfId="2" applyNumberFormat="1" applyFill="1" applyAlignment="1">
      <alignment horizontal="center" vertical="center"/>
    </xf>
    <xf numFmtId="0" fontId="5" fillId="2" borderId="0" xfId="2" applyFont="1" applyFill="1"/>
    <xf numFmtId="166" fontId="7" fillId="2" borderId="0" xfId="2" applyNumberFormat="1" applyFill="1" applyAlignment="1">
      <alignment horizontal="center" vertical="center"/>
    </xf>
    <xf numFmtId="2" fontId="7" fillId="6" borderId="7" xfId="1" applyNumberFormat="1" applyFill="1" applyBorder="1" applyAlignment="1">
      <alignment horizontal="center" vertical="center"/>
    </xf>
    <xf numFmtId="2" fontId="7" fillId="6" borderId="6" xfId="1" applyNumberFormat="1" applyFill="1" applyBorder="1" applyAlignment="1">
      <alignment horizontal="center" vertical="center"/>
    </xf>
    <xf numFmtId="2" fontId="7" fillId="6" borderId="8" xfId="1" applyNumberForma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2" fontId="0" fillId="7" borderId="7" xfId="0" applyNumberFormat="1" applyFill="1" applyBorder="1" applyAlignment="1">
      <alignment horizontal="center" vertical="center"/>
    </xf>
    <xf numFmtId="2" fontId="7" fillId="6" borderId="7" xfId="2" applyNumberFormat="1" applyFill="1" applyBorder="1" applyAlignment="1">
      <alignment horizontal="center" vertical="center"/>
    </xf>
    <xf numFmtId="0" fontId="7" fillId="6" borderId="8" xfId="2" applyFill="1" applyBorder="1" applyAlignment="1">
      <alignment horizontal="center" vertical="center"/>
    </xf>
    <xf numFmtId="164" fontId="7" fillId="6" borderId="7" xfId="2" applyNumberFormat="1" applyFill="1" applyBorder="1" applyAlignment="1">
      <alignment horizontal="center" vertical="center"/>
    </xf>
    <xf numFmtId="164" fontId="7" fillId="6" borderId="8" xfId="2" applyNumberFormat="1" applyFill="1" applyBorder="1" applyAlignment="1">
      <alignment horizontal="center" vertical="center"/>
    </xf>
    <xf numFmtId="0" fontId="2" fillId="8" borderId="44" xfId="2" applyFont="1" applyFill="1" applyBorder="1" applyAlignment="1">
      <alignment horizontal="center" vertical="center"/>
    </xf>
    <xf numFmtId="0" fontId="3" fillId="8" borderId="42" xfId="1" applyFont="1" applyFill="1" applyBorder="1" applyAlignment="1">
      <alignment horizontal="center"/>
    </xf>
    <xf numFmtId="0" fontId="3" fillId="8" borderId="9" xfId="1" applyFont="1" applyFill="1" applyBorder="1" applyAlignment="1">
      <alignment horizontal="center"/>
    </xf>
    <xf numFmtId="0" fontId="2" fillId="8" borderId="45" xfId="2" applyFont="1" applyFill="1" applyBorder="1" applyAlignment="1">
      <alignment horizontal="center" vertical="center"/>
    </xf>
    <xf numFmtId="0" fontId="3" fillId="8" borderId="23" xfId="1" applyFont="1" applyFill="1" applyBorder="1" applyAlignment="1">
      <alignment horizontal="center"/>
    </xf>
    <xf numFmtId="0" fontId="3" fillId="8" borderId="39" xfId="1" applyFont="1" applyFill="1" applyBorder="1" applyAlignment="1">
      <alignment horizontal="center"/>
    </xf>
    <xf numFmtId="0" fontId="3" fillId="8" borderId="24" xfId="2" applyNumberFormat="1" applyFont="1" applyFill="1" applyBorder="1" applyAlignment="1">
      <alignment horizontal="center"/>
    </xf>
    <xf numFmtId="0" fontId="3" fillId="8" borderId="21" xfId="2" applyNumberFormat="1" applyFont="1" applyFill="1" applyBorder="1" applyAlignment="1">
      <alignment horizontal="center"/>
    </xf>
    <xf numFmtId="0" fontId="3" fillId="8" borderId="10" xfId="2" applyNumberFormat="1" applyFont="1" applyFill="1" applyBorder="1" applyAlignment="1">
      <alignment horizontal="center"/>
    </xf>
    <xf numFmtId="2" fontId="2" fillId="8" borderId="45" xfId="2" applyNumberFormat="1" applyFont="1" applyFill="1" applyBorder="1" applyAlignment="1">
      <alignment horizontal="center" vertical="center"/>
    </xf>
    <xf numFmtId="2" fontId="3" fillId="8" borderId="24" xfId="2" applyNumberFormat="1" applyFont="1" applyFill="1" applyBorder="1" applyAlignment="1">
      <alignment horizontal="center"/>
    </xf>
    <xf numFmtId="2" fontId="3" fillId="8" borderId="21" xfId="2" applyNumberFormat="1" applyFont="1" applyFill="1" applyBorder="1" applyAlignment="1">
      <alignment horizontal="center"/>
    </xf>
    <xf numFmtId="2" fontId="3" fillId="8" borderId="10" xfId="2" applyNumberFormat="1" applyFont="1" applyFill="1" applyBorder="1" applyAlignment="1">
      <alignment horizontal="center"/>
    </xf>
    <xf numFmtId="0" fontId="2" fillId="9" borderId="45" xfId="2" applyFont="1" applyFill="1" applyBorder="1" applyAlignment="1">
      <alignment horizontal="center" vertical="center"/>
    </xf>
    <xf numFmtId="2" fontId="3" fillId="10" borderId="24" xfId="1" applyNumberFormat="1" applyFont="1" applyFill="1" applyBorder="1" applyAlignment="1">
      <alignment horizontal="center"/>
    </xf>
    <xf numFmtId="2" fontId="3" fillId="10" borderId="21" xfId="1" applyNumberFormat="1" applyFont="1" applyFill="1" applyBorder="1" applyAlignment="1">
      <alignment horizontal="center"/>
    </xf>
    <xf numFmtId="2" fontId="3" fillId="10" borderId="10" xfId="1" applyNumberFormat="1" applyFont="1" applyFill="1" applyBorder="1" applyAlignment="1">
      <alignment horizontal="center"/>
    </xf>
    <xf numFmtId="2" fontId="2" fillId="9" borderId="45" xfId="2" applyNumberFormat="1" applyFont="1" applyFill="1" applyBorder="1" applyAlignment="1">
      <alignment horizontal="center" vertical="center"/>
    </xf>
    <xf numFmtId="165" fontId="3" fillId="10" borderId="24" xfId="2" applyNumberFormat="1" applyFont="1" applyFill="1" applyBorder="1" applyAlignment="1">
      <alignment horizontal="center"/>
    </xf>
    <xf numFmtId="165" fontId="3" fillId="10" borderId="21" xfId="2" applyNumberFormat="1" applyFont="1" applyFill="1" applyBorder="1" applyAlignment="1">
      <alignment horizontal="center"/>
    </xf>
    <xf numFmtId="165" fontId="3" fillId="10" borderId="10" xfId="2" applyNumberFormat="1" applyFont="1" applyFill="1" applyBorder="1" applyAlignment="1">
      <alignment horizontal="center"/>
    </xf>
    <xf numFmtId="2" fontId="7" fillId="10" borderId="25" xfId="1" applyNumberFormat="1" applyFill="1" applyBorder="1" applyAlignment="1">
      <alignment horizontal="center"/>
    </xf>
    <xf numFmtId="2" fontId="7" fillId="10" borderId="22" xfId="1" applyNumberFormat="1" applyFill="1" applyBorder="1" applyAlignment="1">
      <alignment horizontal="center"/>
    </xf>
    <xf numFmtId="2" fontId="7" fillId="10" borderId="20" xfId="1" applyNumberFormat="1" applyFill="1" applyBorder="1" applyAlignment="1">
      <alignment horizontal="center"/>
    </xf>
    <xf numFmtId="2" fontId="7" fillId="10" borderId="24" xfId="1" applyNumberFormat="1" applyFill="1" applyBorder="1" applyAlignment="1">
      <alignment horizontal="center"/>
    </xf>
    <xf numFmtId="2" fontId="7" fillId="10" borderId="10" xfId="1" applyNumberFormat="1" applyFill="1" applyBorder="1" applyAlignment="1">
      <alignment horizontal="center"/>
    </xf>
    <xf numFmtId="0" fontId="2" fillId="11" borderId="45" xfId="2" applyFont="1" applyFill="1" applyBorder="1" applyAlignment="1">
      <alignment horizontal="center"/>
    </xf>
    <xf numFmtId="165" fontId="7" fillId="11" borderId="25" xfId="2" applyNumberFormat="1" applyFill="1" applyBorder="1" applyAlignment="1">
      <alignment horizontal="center"/>
    </xf>
    <xf numFmtId="165" fontId="7" fillId="11" borderId="22" xfId="2" applyNumberFormat="1" applyFill="1" applyBorder="1" applyAlignment="1">
      <alignment horizontal="center"/>
    </xf>
    <xf numFmtId="165" fontId="7" fillId="11" borderId="20" xfId="2" applyNumberFormat="1" applyFill="1" applyBorder="1" applyAlignment="1">
      <alignment horizontal="center"/>
    </xf>
    <xf numFmtId="0" fontId="2" fillId="11" borderId="50" xfId="2" applyFont="1" applyFill="1" applyBorder="1" applyAlignment="1">
      <alignment horizontal="center"/>
    </xf>
    <xf numFmtId="1" fontId="7" fillId="11" borderId="46" xfId="2" applyNumberFormat="1" applyFill="1" applyBorder="1" applyAlignment="1">
      <alignment horizontal="center" vertical="center"/>
    </xf>
    <xf numFmtId="1" fontId="7" fillId="11" borderId="11" xfId="2" applyNumberFormat="1" applyFill="1" applyBorder="1" applyAlignment="1">
      <alignment horizontal="center" vertical="center"/>
    </xf>
    <xf numFmtId="0" fontId="2" fillId="12" borderId="45" xfId="2" applyFont="1" applyFill="1" applyBorder="1" applyAlignment="1">
      <alignment horizontal="center" vertical="center"/>
    </xf>
    <xf numFmtId="0" fontId="2" fillId="14" borderId="45" xfId="2" applyFont="1" applyFill="1" applyBorder="1" applyAlignment="1">
      <alignment horizontal="center" vertical="center"/>
    </xf>
    <xf numFmtId="2" fontId="3" fillId="15" borderId="24" xfId="2" applyNumberFormat="1" applyFont="1" applyFill="1" applyBorder="1" applyAlignment="1">
      <alignment horizontal="center"/>
    </xf>
    <xf numFmtId="2" fontId="3" fillId="8" borderId="24" xfId="1" applyNumberFormat="1" applyFont="1" applyFill="1" applyBorder="1" applyAlignment="1">
      <alignment horizontal="center"/>
    </xf>
    <xf numFmtId="2" fontId="3" fillId="8" borderId="21" xfId="1" applyNumberFormat="1" applyFont="1" applyFill="1" applyBorder="1" applyAlignment="1">
      <alignment horizontal="center"/>
    </xf>
    <xf numFmtId="2" fontId="3" fillId="8" borderId="10" xfId="1" applyNumberFormat="1" applyFont="1" applyFill="1" applyBorder="1" applyAlignment="1">
      <alignment horizontal="center"/>
    </xf>
    <xf numFmtId="2" fontId="3" fillId="15" borderId="24" xfId="1" applyNumberFormat="1" applyFont="1" applyFill="1" applyBorder="1" applyAlignment="1">
      <alignment horizontal="center"/>
    </xf>
    <xf numFmtId="2" fontId="3" fillId="15" borderId="21" xfId="1" applyNumberFormat="1" applyFont="1" applyFill="1" applyBorder="1" applyAlignment="1">
      <alignment horizontal="center"/>
    </xf>
    <xf numFmtId="2" fontId="3" fillId="15" borderId="10" xfId="1" applyNumberFormat="1" applyFont="1" applyFill="1" applyBorder="1" applyAlignment="1">
      <alignment horizontal="center"/>
    </xf>
    <xf numFmtId="1" fontId="3" fillId="8" borderId="24" xfId="1" applyNumberFormat="1" applyFont="1" applyFill="1" applyBorder="1" applyAlignment="1">
      <alignment horizontal="center"/>
    </xf>
    <xf numFmtId="1" fontId="3" fillId="8" borderId="21" xfId="1" applyNumberFormat="1" applyFont="1" applyFill="1" applyBorder="1" applyAlignment="1">
      <alignment horizontal="center"/>
    </xf>
    <xf numFmtId="1" fontId="3" fillId="8" borderId="10" xfId="1" applyNumberFormat="1" applyFont="1" applyFill="1" applyBorder="1" applyAlignment="1">
      <alignment horizontal="center"/>
    </xf>
    <xf numFmtId="0" fontId="2" fillId="7" borderId="45" xfId="2" applyFont="1" applyFill="1" applyBorder="1" applyAlignment="1">
      <alignment horizontal="center"/>
    </xf>
    <xf numFmtId="0" fontId="7" fillId="7" borderId="43" xfId="2" applyFill="1" applyBorder="1" applyAlignment="1">
      <alignment horizontal="center"/>
    </xf>
    <xf numFmtId="0" fontId="7" fillId="7" borderId="41" xfId="2" applyFill="1" applyBorder="1" applyAlignment="1">
      <alignment horizontal="center"/>
    </xf>
    <xf numFmtId="0" fontId="2" fillId="7" borderId="47" xfId="2" applyFont="1" applyFill="1" applyBorder="1" applyAlignment="1">
      <alignment horizontal="center"/>
    </xf>
    <xf numFmtId="0" fontId="7" fillId="7" borderId="48" xfId="2" applyFill="1" applyBorder="1" applyAlignment="1">
      <alignment horizontal="center"/>
    </xf>
    <xf numFmtId="0" fontId="7" fillId="7" borderId="49" xfId="2" applyFill="1" applyBorder="1" applyAlignment="1">
      <alignment horizontal="center"/>
    </xf>
    <xf numFmtId="0" fontId="5" fillId="13" borderId="51" xfId="2" applyFont="1" applyFill="1" applyBorder="1" applyAlignment="1">
      <alignment horizontal="center"/>
    </xf>
    <xf numFmtId="1" fontId="7" fillId="13" borderId="53" xfId="2" applyNumberFormat="1" applyFill="1" applyBorder="1" applyAlignment="1">
      <alignment horizontal="center" vertical="center"/>
    </xf>
    <xf numFmtId="1" fontId="7" fillId="13" borderId="54" xfId="2" applyNumberFormat="1" applyFill="1" applyBorder="1" applyAlignment="1">
      <alignment horizontal="center" vertical="center"/>
    </xf>
    <xf numFmtId="1" fontId="7" fillId="13" borderId="55" xfId="2" applyNumberFormat="1" applyFill="1" applyBorder="1" applyAlignment="1">
      <alignment horizontal="center" vertical="center"/>
    </xf>
    <xf numFmtId="164" fontId="7" fillId="6" borderId="6" xfId="2" applyNumberFormat="1" applyFill="1" applyBorder="1" applyAlignment="1">
      <alignment horizontal="center" vertical="center"/>
    </xf>
    <xf numFmtId="20" fontId="7" fillId="6" borderId="6" xfId="2" applyNumberFormat="1" applyFont="1" applyFill="1" applyBorder="1" applyAlignment="1">
      <alignment horizontal="center" vertical="center"/>
    </xf>
    <xf numFmtId="20" fontId="7" fillId="6" borderId="7" xfId="2" applyNumberFormat="1" applyFill="1" applyBorder="1" applyAlignment="1">
      <alignment horizontal="center" vertical="center"/>
    </xf>
    <xf numFmtId="2" fontId="7" fillId="10" borderId="7" xfId="2" applyNumberFormat="1" applyFill="1" applyBorder="1" applyAlignment="1">
      <alignment horizontal="center" vertical="center"/>
    </xf>
    <xf numFmtId="2" fontId="7" fillId="10" borderId="8" xfId="2" applyNumberFormat="1" applyFill="1" applyBorder="1" applyAlignment="1">
      <alignment horizontal="center" vertical="center"/>
    </xf>
    <xf numFmtId="165" fontId="3" fillId="16" borderId="24" xfId="1" applyNumberFormat="1" applyFont="1" applyFill="1" applyBorder="1" applyAlignment="1">
      <alignment horizontal="center"/>
    </xf>
    <xf numFmtId="165" fontId="3" fillId="16" borderId="21" xfId="1" applyNumberFormat="1" applyFont="1" applyFill="1" applyBorder="1" applyAlignment="1">
      <alignment horizontal="center"/>
    </xf>
    <xf numFmtId="165" fontId="3" fillId="16" borderId="10" xfId="1" applyNumberFormat="1" applyFont="1" applyFill="1" applyBorder="1" applyAlignment="1">
      <alignment horizontal="center"/>
    </xf>
    <xf numFmtId="166" fontId="3" fillId="16" borderId="24" xfId="2" applyNumberFormat="1" applyFont="1" applyFill="1" applyBorder="1" applyAlignment="1">
      <alignment horizontal="center"/>
    </xf>
    <xf numFmtId="166" fontId="3" fillId="16" borderId="21" xfId="2" applyNumberFormat="1" applyFont="1" applyFill="1" applyBorder="1" applyAlignment="1">
      <alignment horizontal="center"/>
    </xf>
    <xf numFmtId="166" fontId="3" fillId="16" borderId="10" xfId="2" applyNumberFormat="1" applyFont="1" applyFill="1" applyBorder="1" applyAlignment="1">
      <alignment horizontal="center"/>
    </xf>
    <xf numFmtId="0" fontId="9" fillId="17" borderId="56" xfId="0" applyNumberFormat="1" applyFont="1" applyFill="1" applyBorder="1" applyAlignment="1">
      <alignment horizontal="center" vertical="center" wrapText="1"/>
    </xf>
    <xf numFmtId="0" fontId="9" fillId="17" borderId="57" xfId="0" applyFont="1" applyFill="1" applyBorder="1" applyAlignment="1">
      <alignment horizontal="center" vertical="center" wrapText="1"/>
    </xf>
    <xf numFmtId="0" fontId="0" fillId="18" borderId="58" xfId="0" applyFont="1" applyFill="1" applyBorder="1" applyAlignment="1">
      <alignment horizontal="center" vertical="center" wrapText="1"/>
    </xf>
    <xf numFmtId="0" fontId="0" fillId="18" borderId="58" xfId="0" applyFill="1" applyBorder="1" applyAlignment="1">
      <alignment horizontal="center" vertical="center" wrapText="1"/>
    </xf>
    <xf numFmtId="49" fontId="0" fillId="18" borderId="58" xfId="0" applyNumberFormat="1" applyFill="1" applyBorder="1" applyAlignment="1">
      <alignment horizontal="center" vertical="center" wrapText="1"/>
    </xf>
    <xf numFmtId="0" fontId="3" fillId="8" borderId="59" xfId="1" applyFont="1" applyFill="1" applyBorder="1" applyAlignment="1">
      <alignment horizontal="center"/>
    </xf>
    <xf numFmtId="0" fontId="7" fillId="7" borderId="60" xfId="2" applyFill="1" applyBorder="1" applyAlignment="1">
      <alignment horizontal="center"/>
    </xf>
    <xf numFmtId="0" fontId="7" fillId="7" borderId="61" xfId="2" applyFill="1" applyBorder="1" applyAlignment="1">
      <alignment horizontal="center"/>
    </xf>
    <xf numFmtId="1" fontId="7" fillId="11" borderId="62" xfId="2" applyNumberFormat="1" applyFill="1" applyBorder="1" applyAlignment="1">
      <alignment horizontal="center" vertical="center"/>
    </xf>
    <xf numFmtId="1" fontId="7" fillId="13" borderId="63" xfId="2" applyNumberFormat="1" applyFill="1" applyBorder="1" applyAlignment="1">
      <alignment horizontal="center" vertical="center"/>
    </xf>
    <xf numFmtId="0" fontId="3" fillId="8" borderId="64" xfId="1" applyFont="1" applyFill="1" applyBorder="1" applyAlignment="1">
      <alignment horizontal="center"/>
    </xf>
    <xf numFmtId="0" fontId="3" fillId="8" borderId="65" xfId="1" applyFont="1" applyFill="1" applyBorder="1" applyAlignment="1">
      <alignment horizontal="center"/>
    </xf>
    <xf numFmtId="0" fontId="3" fillId="8" borderId="66" xfId="1" applyFont="1" applyFill="1" applyBorder="1" applyAlignment="1">
      <alignment horizontal="center"/>
    </xf>
    <xf numFmtId="0" fontId="3" fillId="8" borderId="67" xfId="1" applyFont="1" applyFill="1" applyBorder="1" applyAlignment="1">
      <alignment horizontal="center"/>
    </xf>
    <xf numFmtId="0" fontId="3" fillId="8" borderId="68" xfId="2" applyNumberFormat="1" applyFont="1" applyFill="1" applyBorder="1" applyAlignment="1">
      <alignment horizontal="center"/>
    </xf>
    <xf numFmtId="0" fontId="3" fillId="8" borderId="69" xfId="2" applyNumberFormat="1" applyFont="1" applyFill="1" applyBorder="1" applyAlignment="1">
      <alignment horizontal="center"/>
    </xf>
    <xf numFmtId="2" fontId="3" fillId="8" borderId="68" xfId="2" applyNumberFormat="1" applyFont="1" applyFill="1" applyBorder="1" applyAlignment="1">
      <alignment horizontal="center"/>
    </xf>
    <xf numFmtId="2" fontId="3" fillId="8" borderId="69" xfId="2" applyNumberFormat="1" applyFont="1" applyFill="1" applyBorder="1" applyAlignment="1">
      <alignment horizontal="center"/>
    </xf>
    <xf numFmtId="2" fontId="3" fillId="8" borderId="68" xfId="1" applyNumberFormat="1" applyFont="1" applyFill="1" applyBorder="1" applyAlignment="1">
      <alignment horizontal="center"/>
    </xf>
    <xf numFmtId="2" fontId="3" fillId="8" borderId="69" xfId="1" applyNumberFormat="1" applyFont="1" applyFill="1" applyBorder="1" applyAlignment="1">
      <alignment horizontal="center"/>
    </xf>
    <xf numFmtId="2" fontId="3" fillId="15" borderId="68" xfId="1" applyNumberFormat="1" applyFont="1" applyFill="1" applyBorder="1" applyAlignment="1">
      <alignment horizontal="center"/>
    </xf>
    <xf numFmtId="2" fontId="3" fillId="15" borderId="69" xfId="1" applyNumberFormat="1" applyFont="1" applyFill="1" applyBorder="1" applyAlignment="1">
      <alignment horizontal="center"/>
    </xf>
    <xf numFmtId="2" fontId="3" fillId="10" borderId="68" xfId="1" applyNumberFormat="1" applyFont="1" applyFill="1" applyBorder="1" applyAlignment="1">
      <alignment horizontal="center"/>
    </xf>
    <xf numFmtId="2" fontId="3" fillId="10" borderId="69" xfId="1" applyNumberFormat="1" applyFont="1" applyFill="1" applyBorder="1" applyAlignment="1">
      <alignment horizontal="center"/>
    </xf>
    <xf numFmtId="165" fontId="3" fillId="16" borderId="68" xfId="1" applyNumberFormat="1" applyFont="1" applyFill="1" applyBorder="1" applyAlignment="1">
      <alignment horizontal="center"/>
    </xf>
    <xf numFmtId="165" fontId="3" fillId="16" borderId="69" xfId="1" applyNumberFormat="1" applyFont="1" applyFill="1" applyBorder="1" applyAlignment="1">
      <alignment horizontal="center"/>
    </xf>
    <xf numFmtId="165" fontId="3" fillId="10" borderId="68" xfId="2" applyNumberFormat="1" applyFont="1" applyFill="1" applyBorder="1" applyAlignment="1">
      <alignment horizontal="center"/>
    </xf>
    <xf numFmtId="165" fontId="3" fillId="10" borderId="69" xfId="2" applyNumberFormat="1" applyFont="1" applyFill="1" applyBorder="1" applyAlignment="1">
      <alignment horizontal="center"/>
    </xf>
    <xf numFmtId="1" fontId="3" fillId="8" borderId="68" xfId="1" applyNumberFormat="1" applyFont="1" applyFill="1" applyBorder="1" applyAlignment="1">
      <alignment horizontal="center"/>
    </xf>
    <xf numFmtId="1" fontId="3" fillId="8" borderId="69" xfId="1" applyNumberFormat="1" applyFont="1" applyFill="1" applyBorder="1" applyAlignment="1">
      <alignment horizontal="center"/>
    </xf>
    <xf numFmtId="166" fontId="3" fillId="16" borderId="68" xfId="2" applyNumberFormat="1" applyFont="1" applyFill="1" applyBorder="1" applyAlignment="1">
      <alignment horizontal="center"/>
    </xf>
    <xf numFmtId="166" fontId="3" fillId="16" borderId="69" xfId="2" applyNumberFormat="1" applyFont="1" applyFill="1" applyBorder="1" applyAlignment="1">
      <alignment horizontal="center"/>
    </xf>
    <xf numFmtId="2" fontId="7" fillId="10" borderId="70" xfId="1" applyNumberFormat="1" applyFill="1" applyBorder="1" applyAlignment="1">
      <alignment horizontal="center"/>
    </xf>
    <xf numFmtId="2" fontId="7" fillId="10" borderId="71" xfId="1" applyNumberFormat="1" applyFill="1" applyBorder="1" applyAlignment="1">
      <alignment horizontal="center"/>
    </xf>
    <xf numFmtId="165" fontId="7" fillId="11" borderId="70" xfId="2" applyNumberFormat="1" applyFill="1" applyBorder="1" applyAlignment="1">
      <alignment horizontal="center"/>
    </xf>
    <xf numFmtId="165" fontId="7" fillId="11" borderId="71" xfId="2" applyNumberFormat="1" applyFill="1" applyBorder="1" applyAlignment="1">
      <alignment horizontal="center"/>
    </xf>
    <xf numFmtId="0" fontId="7" fillId="7" borderId="72" xfId="2" applyFill="1" applyBorder="1" applyAlignment="1">
      <alignment horizontal="center"/>
    </xf>
    <xf numFmtId="0" fontId="7" fillId="7" borderId="73" xfId="2" applyFill="1" applyBorder="1" applyAlignment="1">
      <alignment horizontal="center"/>
    </xf>
    <xf numFmtId="0" fontId="7" fillId="7" borderId="74" xfId="2" applyFill="1" applyBorder="1" applyAlignment="1">
      <alignment horizontal="center"/>
    </xf>
    <xf numFmtId="0" fontId="7" fillId="7" borderId="75" xfId="2" applyFill="1" applyBorder="1"/>
    <xf numFmtId="1" fontId="7" fillId="11" borderId="70" xfId="2" applyNumberFormat="1" applyFill="1" applyBorder="1" applyAlignment="1">
      <alignment horizontal="center" vertical="center"/>
    </xf>
    <xf numFmtId="1" fontId="7" fillId="11" borderId="71" xfId="2" applyNumberFormat="1" applyFill="1" applyBorder="1" applyAlignment="1">
      <alignment horizontal="center" vertical="center"/>
    </xf>
    <xf numFmtId="1" fontId="7" fillId="13" borderId="76" xfId="2" applyNumberFormat="1" applyFill="1" applyBorder="1" applyAlignment="1">
      <alignment horizontal="center" vertical="center"/>
    </xf>
    <xf numFmtId="0" fontId="7" fillId="13" borderId="77" xfId="2" applyFill="1" applyBorder="1"/>
    <xf numFmtId="164" fontId="3" fillId="12" borderId="21" xfId="2" applyNumberFormat="1" applyFont="1" applyFill="1" applyBorder="1" applyAlignment="1">
      <alignment horizontal="center"/>
    </xf>
    <xf numFmtId="164" fontId="3" fillId="12" borderId="10" xfId="2" applyNumberFormat="1" applyFont="1" applyFill="1" applyBorder="1" applyAlignment="1">
      <alignment horizontal="center"/>
    </xf>
    <xf numFmtId="164" fontId="3" fillId="12" borderId="68" xfId="2" applyNumberFormat="1" applyFont="1" applyFill="1" applyBorder="1" applyAlignment="1">
      <alignment horizontal="center"/>
    </xf>
    <xf numFmtId="164" fontId="3" fillId="12" borderId="69" xfId="2" applyNumberFormat="1" applyFont="1" applyFill="1" applyBorder="1" applyAlignment="1">
      <alignment horizontal="center"/>
    </xf>
    <xf numFmtId="164" fontId="7" fillId="13" borderId="52" xfId="2" applyNumberFormat="1" applyFill="1" applyBorder="1" applyAlignment="1">
      <alignment horizontal="center" vertical="center"/>
    </xf>
    <xf numFmtId="164" fontId="7" fillId="13" borderId="53" xfId="2" applyNumberFormat="1" applyFill="1" applyBorder="1" applyAlignment="1">
      <alignment horizontal="center" vertical="center"/>
    </xf>
    <xf numFmtId="164" fontId="0" fillId="13" borderId="53" xfId="2" applyNumberFormat="1" applyFont="1" applyFill="1" applyBorder="1" applyAlignment="1">
      <alignment horizontal="center" vertical="center"/>
    </xf>
    <xf numFmtId="164" fontId="7" fillId="13" borderId="54" xfId="2" applyNumberFormat="1" applyFill="1" applyBorder="1" applyAlignment="1">
      <alignment horizontal="center" vertical="center"/>
    </xf>
    <xf numFmtId="164" fontId="3" fillId="10" borderId="7" xfId="2" applyNumberFormat="1" applyFont="1" applyFill="1" applyBorder="1" applyAlignment="1">
      <alignment horizontal="center" vertical="center"/>
    </xf>
    <xf numFmtId="2" fontId="3" fillId="12" borderId="24" xfId="2" applyNumberFormat="1" applyFont="1" applyFill="1" applyBorder="1" applyAlignment="1">
      <alignment horizontal="center"/>
    </xf>
    <xf numFmtId="2" fontId="3" fillId="12" borderId="10" xfId="2" applyNumberFormat="1" applyFont="1" applyFill="1" applyBorder="1" applyAlignment="1">
      <alignment horizontal="center"/>
    </xf>
    <xf numFmtId="2" fontId="0" fillId="11" borderId="7" xfId="0" applyNumberFormat="1" applyFill="1" applyBorder="1" applyAlignment="1">
      <alignment horizontal="center" vertical="center"/>
    </xf>
    <xf numFmtId="0" fontId="0" fillId="2" borderId="0" xfId="0" applyFill="1"/>
    <xf numFmtId="0" fontId="0" fillId="18" borderId="58" xfId="0" applyNumberFormat="1" applyFill="1" applyBorder="1" applyAlignment="1">
      <alignment horizontal="center" vertical="center" wrapText="1"/>
    </xf>
    <xf numFmtId="0" fontId="0" fillId="18" borderId="58" xfId="0" applyFill="1" applyBorder="1" applyAlignment="1">
      <alignment horizontal="left" vertical="center" wrapText="1"/>
    </xf>
    <xf numFmtId="0" fontId="3" fillId="8" borderId="78" xfId="1" applyFont="1" applyFill="1" applyBorder="1" applyAlignment="1">
      <alignment horizontal="center"/>
    </xf>
    <xf numFmtId="2" fontId="3" fillId="12" borderId="79" xfId="2" applyNumberFormat="1" applyFont="1" applyFill="1" applyBorder="1" applyAlignment="1">
      <alignment horizontal="center"/>
    </xf>
    <xf numFmtId="0" fontId="3" fillId="8" borderId="79" xfId="2" applyNumberFormat="1" applyFont="1" applyFill="1" applyBorder="1" applyAlignment="1">
      <alignment horizontal="center"/>
    </xf>
    <xf numFmtId="1" fontId="3" fillId="16" borderId="24" xfId="1" applyNumberFormat="1" applyFont="1" applyFill="1" applyBorder="1" applyAlignment="1">
      <alignment horizontal="center" vertical="center"/>
    </xf>
    <xf numFmtId="1" fontId="3" fillId="16" borderId="21" xfId="1" applyNumberFormat="1" applyFont="1" applyFill="1" applyBorder="1" applyAlignment="1">
      <alignment horizontal="center" vertical="center"/>
    </xf>
    <xf numFmtId="1" fontId="3" fillId="16" borderId="10" xfId="1" applyNumberFormat="1" applyFont="1" applyFill="1" applyBorder="1" applyAlignment="1">
      <alignment horizontal="center" vertical="center"/>
    </xf>
    <xf numFmtId="1" fontId="3" fillId="16" borderId="68" xfId="1" applyNumberFormat="1" applyFont="1" applyFill="1" applyBorder="1" applyAlignment="1">
      <alignment horizontal="center" vertical="center"/>
    </xf>
    <xf numFmtId="1" fontId="3" fillId="16" borderId="69" xfId="1" applyNumberFormat="1" applyFont="1" applyFill="1" applyBorder="1" applyAlignment="1">
      <alignment horizontal="center" vertical="center"/>
    </xf>
    <xf numFmtId="0" fontId="6" fillId="2" borderId="0" xfId="2" applyFont="1" applyFill="1"/>
    <xf numFmtId="0" fontId="5" fillId="5" borderId="30" xfId="2" applyFont="1" applyFill="1" applyBorder="1" applyAlignment="1">
      <alignment horizontal="center"/>
    </xf>
    <xf numFmtId="0" fontId="5" fillId="5" borderId="31" xfId="2" applyFont="1" applyFill="1" applyBorder="1" applyAlignment="1">
      <alignment horizontal="center"/>
    </xf>
    <xf numFmtId="0" fontId="5" fillId="5" borderId="32" xfId="2" applyFont="1" applyFill="1" applyBorder="1" applyAlignment="1">
      <alignment horizontal="center"/>
    </xf>
    <xf numFmtId="2" fontId="7" fillId="2" borderId="33" xfId="2" applyNumberFormat="1" applyFill="1" applyBorder="1" applyAlignment="1">
      <alignment horizontal="center"/>
    </xf>
    <xf numFmtId="2" fontId="7" fillId="2" borderId="34" xfId="2" applyNumberFormat="1" applyFill="1" applyBorder="1" applyAlignment="1">
      <alignment horizontal="center"/>
    </xf>
    <xf numFmtId="0" fontId="1" fillId="3" borderId="26" xfId="2" applyFont="1" applyFill="1" applyBorder="1" applyAlignment="1">
      <alignment horizontal="center" vertical="center" wrapText="1"/>
    </xf>
    <xf numFmtId="0" fontId="1" fillId="3" borderId="27" xfId="2" applyFont="1" applyFill="1" applyBorder="1" applyAlignment="1">
      <alignment horizontal="center" vertical="center" wrapText="1"/>
    </xf>
    <xf numFmtId="0" fontId="7" fillId="2" borderId="19" xfId="2" applyFill="1" applyBorder="1" applyAlignment="1">
      <alignment horizontal="center"/>
    </xf>
    <xf numFmtId="0" fontId="5" fillId="5" borderId="36" xfId="2" applyFont="1" applyFill="1" applyBorder="1" applyAlignment="1">
      <alignment horizontal="center"/>
    </xf>
    <xf numFmtId="0" fontId="5" fillId="5" borderId="35" xfId="2" applyFont="1" applyFill="1" applyBorder="1" applyAlignment="1">
      <alignment horizontal="center"/>
    </xf>
    <xf numFmtId="0" fontId="5" fillId="5" borderId="37" xfId="2" applyFont="1" applyFill="1" applyBorder="1" applyAlignment="1">
      <alignment horizontal="center"/>
    </xf>
    <xf numFmtId="0" fontId="1" fillId="3" borderId="5" xfId="2" applyFont="1" applyFill="1" applyBorder="1" applyAlignment="1">
      <alignment horizontal="center" vertical="center" wrapText="1"/>
    </xf>
    <xf numFmtId="0" fontId="1" fillId="3" borderId="34" xfId="2" applyFont="1" applyFill="1" applyBorder="1" applyAlignment="1">
      <alignment horizontal="center" vertical="center" wrapText="1"/>
    </xf>
    <xf numFmtId="0" fontId="1" fillId="3" borderId="26" xfId="2" applyFont="1" applyFill="1" applyBorder="1" applyAlignment="1">
      <alignment horizontal="center" wrapText="1"/>
    </xf>
    <xf numFmtId="0" fontId="1" fillId="3" borderId="27" xfId="2" applyFont="1" applyFill="1" applyBorder="1" applyAlignment="1">
      <alignment horizontal="center" wrapText="1"/>
    </xf>
    <xf numFmtId="0" fontId="1" fillId="3" borderId="36" xfId="2" applyFont="1" applyFill="1" applyBorder="1" applyAlignment="1">
      <alignment horizontal="center" wrapText="1"/>
    </xf>
    <xf numFmtId="0" fontId="1" fillId="3" borderId="37" xfId="2" applyFont="1" applyFill="1" applyBorder="1" applyAlignment="1">
      <alignment horizontal="center" wrapText="1"/>
    </xf>
    <xf numFmtId="0" fontId="1" fillId="3" borderId="28" xfId="2" applyFont="1" applyFill="1" applyBorder="1" applyAlignment="1">
      <alignment horizontal="center" vertical="center" wrapText="1"/>
    </xf>
    <xf numFmtId="0" fontId="1" fillId="3" borderId="29" xfId="2" applyFont="1" applyFill="1" applyBorder="1" applyAlignment="1">
      <alignment horizontal="center" vertical="center" wrapText="1"/>
    </xf>
    <xf numFmtId="0" fontId="1" fillId="3" borderId="28" xfId="2" applyFont="1" applyFill="1" applyBorder="1" applyAlignment="1">
      <alignment horizontal="center" wrapText="1"/>
    </xf>
    <xf numFmtId="0" fontId="1" fillId="3" borderId="29" xfId="2" applyFont="1" applyFill="1" applyBorder="1" applyAlignment="1">
      <alignment horizontal="center" wrapText="1"/>
    </xf>
    <xf numFmtId="0" fontId="1" fillId="3" borderId="17" xfId="2" applyFont="1" applyFill="1" applyBorder="1" applyAlignment="1">
      <alignment horizontal="center" wrapText="1"/>
    </xf>
    <xf numFmtId="0" fontId="1" fillId="3" borderId="40" xfId="2" applyFont="1" applyFill="1" applyBorder="1" applyAlignment="1">
      <alignment horizontal="center" wrapText="1"/>
    </xf>
    <xf numFmtId="0" fontId="1" fillId="3" borderId="38" xfId="2" applyFont="1" applyFill="1" applyBorder="1" applyAlignment="1">
      <alignment horizontal="center" vertical="center" wrapText="1"/>
    </xf>
  </cellXfs>
  <cellStyles count="3">
    <cellStyle name="Excel Built-in Normal" xfId="1"/>
    <cellStyle name="Excel Built-in Normal 1" xfId="2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78787"/>
      <rgbColor rgb="009999FF"/>
      <rgbColor rgb="00BE4B48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7E4BD"/>
      <rgbColor rgb="00FFFF99"/>
      <rgbColor rgb="0099CCFF"/>
      <rgbColor rgb="00FF99CC"/>
      <rgbColor rgb="00CC99FF"/>
      <rgbColor rgb="00E6B9B8"/>
      <rgbColor rgb="004A7EBB"/>
      <rgbColor rgb="0033CCCC"/>
      <rgbColor rgb="0092D050"/>
      <rgbColor rgb="00FFCC00"/>
      <rgbColor rgb="00FF9900"/>
      <rgbColor rgb="00FF6600"/>
      <rgbColor rgb="00606060"/>
      <rgbColor rgb="00B7B7B7"/>
      <rgbColor rgb="00003366"/>
      <rgbColor rgb="004F81BD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showGridLines="0" zoomScale="115" zoomScaleNormal="115" workbookViewId="0">
      <selection activeCell="H25" sqref="H25"/>
    </sheetView>
  </sheetViews>
  <sheetFormatPr baseColWidth="10" defaultRowHeight="12.75"/>
  <cols>
    <col min="8" max="8" width="14.7109375" customWidth="1"/>
    <col min="9" max="9" width="7.7109375" bestFit="1" customWidth="1"/>
    <col min="11" max="11" width="60.28515625" bestFit="1" customWidth="1"/>
  </cols>
  <sheetData>
    <row r="1" spans="1:12" ht="45">
      <c r="A1" s="114" t="s">
        <v>63</v>
      </c>
      <c r="B1" s="115" t="s">
        <v>69</v>
      </c>
      <c r="C1" s="115" t="s">
        <v>70</v>
      </c>
      <c r="D1" s="115" t="s">
        <v>65</v>
      </c>
      <c r="E1" s="115" t="s">
        <v>71</v>
      </c>
      <c r="F1" s="115" t="s">
        <v>64</v>
      </c>
      <c r="G1" s="115" t="s">
        <v>66</v>
      </c>
      <c r="H1" s="115" t="s">
        <v>67</v>
      </c>
      <c r="I1" s="115" t="s">
        <v>72</v>
      </c>
      <c r="J1" s="115" t="s">
        <v>68</v>
      </c>
      <c r="K1" s="115" t="s">
        <v>74</v>
      </c>
    </row>
    <row r="2" spans="1:12" ht="12.75" customHeight="1">
      <c r="A2" s="171"/>
      <c r="B2" s="116"/>
      <c r="C2" s="116"/>
      <c r="D2" s="116"/>
      <c r="E2" s="117"/>
      <c r="F2" s="116"/>
      <c r="G2" s="118"/>
      <c r="H2" s="118"/>
      <c r="I2" s="118"/>
      <c r="J2" s="117"/>
      <c r="K2" s="172"/>
    </row>
    <row r="3" spans="1:12">
      <c r="A3" s="2"/>
    </row>
    <row r="4" spans="1:12">
      <c r="A4" s="2"/>
    </row>
    <row r="5" spans="1:12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>
      <c r="A6" s="2"/>
    </row>
    <row r="7" spans="1:12">
      <c r="A7" s="2"/>
    </row>
    <row r="8" spans="1:12">
      <c r="A8" s="2"/>
    </row>
    <row r="9" spans="1:12">
      <c r="A9" s="2"/>
    </row>
    <row r="10" spans="1:12">
      <c r="A10" s="2"/>
    </row>
    <row r="11" spans="1:12">
      <c r="A11" s="2"/>
    </row>
    <row r="12" spans="1:12">
      <c r="A12" s="2"/>
    </row>
    <row r="13" spans="1:12">
      <c r="A13" s="2"/>
    </row>
    <row r="14" spans="1:12">
      <c r="A14" s="2"/>
    </row>
    <row r="15" spans="1:12">
      <c r="A15" s="2"/>
    </row>
    <row r="16" spans="1:12">
      <c r="A16" s="2"/>
    </row>
    <row r="17" spans="1:1">
      <c r="A17" s="2"/>
    </row>
    <row r="18" spans="1:1">
      <c r="A18" s="2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IS57"/>
  <sheetViews>
    <sheetView showGridLines="0" tabSelected="1" topLeftCell="A16" zoomScale="90" zoomScaleNormal="90" workbookViewId="0">
      <selection activeCell="AA46" sqref="AA46"/>
    </sheetView>
  </sheetViews>
  <sheetFormatPr baseColWidth="10" defaultColWidth="10.7109375" defaultRowHeight="12.75"/>
  <cols>
    <col min="1" max="1" width="16.140625" style="4" customWidth="1"/>
    <col min="2" max="2" width="8" style="4" customWidth="1"/>
    <col min="3" max="3" width="7.5703125" style="4" customWidth="1"/>
    <col min="4" max="4" width="7.42578125" style="4" customWidth="1"/>
    <col min="5" max="6" width="7.85546875" style="4" customWidth="1"/>
    <col min="7" max="7" width="7.42578125" style="4" customWidth="1"/>
    <col min="8" max="8" width="7.85546875" style="4" customWidth="1"/>
    <col min="9" max="9" width="7.28515625" style="4" customWidth="1"/>
    <col min="10" max="10" width="7.42578125" style="4" customWidth="1"/>
    <col min="11" max="11" width="7.85546875" style="4" customWidth="1"/>
    <col min="12" max="14" width="7.42578125" style="4" customWidth="1"/>
    <col min="15" max="15" width="7.140625" style="4" customWidth="1"/>
    <col min="16" max="16" width="7.42578125" style="4" customWidth="1"/>
    <col min="17" max="17" width="8.140625" style="4" customWidth="1"/>
    <col min="18" max="18" width="9.5703125" style="4" customWidth="1"/>
    <col min="19" max="19" width="10.42578125" style="4" customWidth="1"/>
    <col min="20" max="20" width="9.5703125" style="4" customWidth="1"/>
    <col min="21" max="21" width="9" style="4" customWidth="1"/>
    <col min="22" max="23" width="8" style="4" customWidth="1"/>
    <col min="24" max="24" width="8.140625" style="4" customWidth="1"/>
    <col min="25" max="25" width="10" style="4" customWidth="1"/>
    <col min="26" max="30" width="10.7109375" style="4"/>
    <col min="31" max="31" width="12.5703125" style="4" customWidth="1"/>
    <col min="32" max="253" width="10.7109375" style="4"/>
    <col min="254" max="16384" width="10.7109375" style="5"/>
  </cols>
  <sheetData>
    <row r="1" spans="1:27" ht="13.5" thickBot="1">
      <c r="A1" s="3"/>
    </row>
    <row r="2" spans="1:27" ht="30.75" customHeight="1" thickTop="1" thickBot="1">
      <c r="A2" s="6"/>
      <c r="B2" s="39"/>
      <c r="C2" s="205"/>
      <c r="D2" s="188"/>
      <c r="E2" s="40"/>
      <c r="F2" s="205"/>
      <c r="G2" s="188"/>
      <c r="H2" s="42"/>
      <c r="I2" s="205"/>
      <c r="J2" s="188"/>
      <c r="K2" s="42"/>
      <c r="L2" s="205" t="s">
        <v>48</v>
      </c>
      <c r="M2" s="188"/>
      <c r="N2" s="43"/>
    </row>
    <row r="3" spans="1:27" ht="30.75" customHeight="1" thickTop="1" thickBot="1">
      <c r="A3" s="6"/>
      <c r="B3" s="39"/>
      <c r="C3" s="205"/>
      <c r="D3" s="188"/>
      <c r="E3" s="41"/>
      <c r="F3" s="205"/>
      <c r="G3" s="188"/>
      <c r="H3" s="42"/>
      <c r="I3" s="205" t="s">
        <v>51</v>
      </c>
      <c r="J3" s="188"/>
      <c r="K3" s="169">
        <f>Z17</f>
        <v>0</v>
      </c>
      <c r="L3" s="205" t="s">
        <v>49</v>
      </c>
      <c r="M3" s="188"/>
      <c r="N3" s="43"/>
      <c r="Q3" s="3"/>
      <c r="S3" s="3"/>
    </row>
    <row r="4" spans="1:27" ht="24" customHeight="1" thickTop="1" thickBot="1">
      <c r="A4" s="6" t="s">
        <v>0</v>
      </c>
      <c r="B4" s="39"/>
      <c r="C4" s="187" t="s">
        <v>1</v>
      </c>
      <c r="D4" s="188"/>
      <c r="E4" s="40"/>
      <c r="F4" s="187" t="s">
        <v>2</v>
      </c>
      <c r="G4" s="188"/>
      <c r="H4" s="106">
        <f>(B4+E4)/2</f>
        <v>0</v>
      </c>
      <c r="I4" s="195" t="s">
        <v>3</v>
      </c>
      <c r="J4" s="196"/>
      <c r="K4" s="44"/>
      <c r="L4" s="197" t="s">
        <v>47</v>
      </c>
      <c r="M4" s="198"/>
      <c r="N4" s="46"/>
      <c r="O4" s="7"/>
      <c r="P4" s="8"/>
      <c r="Q4" s="9"/>
      <c r="R4" s="10"/>
      <c r="S4" s="11"/>
      <c r="T4" s="11"/>
      <c r="U4" s="12"/>
    </row>
    <row r="5" spans="1:27" ht="24" customHeight="1" thickTop="1" thickBot="1">
      <c r="A5" s="13" t="s">
        <v>5</v>
      </c>
      <c r="B5" s="39"/>
      <c r="C5" s="199" t="s">
        <v>6</v>
      </c>
      <c r="D5" s="200"/>
      <c r="E5" s="41"/>
      <c r="F5" s="199" t="s">
        <v>7</v>
      </c>
      <c r="G5" s="200"/>
      <c r="H5" s="107">
        <f>(B5+E5)/2</f>
        <v>0</v>
      </c>
      <c r="I5" s="201" t="s">
        <v>8</v>
      </c>
      <c r="J5" s="202"/>
      <c r="K5" s="45"/>
      <c r="L5" s="203" t="s">
        <v>4</v>
      </c>
      <c r="M5" s="204"/>
      <c r="N5" s="47"/>
      <c r="O5" s="14"/>
      <c r="P5" s="15"/>
      <c r="Q5" s="16"/>
      <c r="R5" s="17"/>
      <c r="S5" s="18"/>
      <c r="T5" s="19"/>
      <c r="U5" s="20"/>
      <c r="Z5" s="21" t="s">
        <v>52</v>
      </c>
      <c r="AA5" s="21" t="s">
        <v>61</v>
      </c>
    </row>
    <row r="6" spans="1:27" customFormat="1" ht="14.25" thickTop="1" thickBot="1">
      <c r="A6" s="48" t="s">
        <v>46</v>
      </c>
      <c r="B6" s="49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119"/>
      <c r="Z6" s="124"/>
      <c r="AA6" s="125"/>
    </row>
    <row r="7" spans="1:27" customFormat="1" ht="14.25" thickTop="1" thickBot="1">
      <c r="A7" s="51" t="s">
        <v>9</v>
      </c>
      <c r="B7" s="52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53"/>
      <c r="S7" s="53"/>
      <c r="T7" s="53"/>
      <c r="U7" s="53"/>
      <c r="V7" s="53"/>
      <c r="W7" s="53"/>
      <c r="X7" s="53"/>
      <c r="Y7" s="53"/>
      <c r="Z7" s="126"/>
      <c r="AA7" s="127"/>
    </row>
    <row r="8" spans="1:27" s="170" customFormat="1" ht="13.5" thickBot="1">
      <c r="A8" s="81" t="s">
        <v>10</v>
      </c>
      <c r="B8" s="167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68"/>
      <c r="S8" s="159"/>
      <c r="T8" s="159"/>
      <c r="U8" s="159"/>
      <c r="V8" s="159"/>
      <c r="W8" s="159"/>
      <c r="X8" s="159"/>
      <c r="Y8" s="158"/>
      <c r="Z8" s="160"/>
      <c r="AA8" s="161"/>
    </row>
    <row r="9" spans="1:27" customFormat="1" ht="13.5" thickBot="1">
      <c r="A9" s="51" t="s">
        <v>11</v>
      </c>
      <c r="B9" s="54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56"/>
      <c r="S9" s="56"/>
      <c r="T9" s="56"/>
      <c r="U9" s="56"/>
      <c r="V9" s="56"/>
      <c r="W9" s="56"/>
      <c r="X9" s="56"/>
      <c r="Y9" s="55"/>
      <c r="Z9" s="128"/>
      <c r="AA9" s="129"/>
    </row>
    <row r="10" spans="1:27" customFormat="1" ht="13.5" thickBot="1">
      <c r="A10" s="57" t="s">
        <v>12</v>
      </c>
      <c r="B10" s="58"/>
      <c r="C10" s="59"/>
      <c r="D10" s="60"/>
      <c r="E10" s="60"/>
      <c r="F10" s="60"/>
      <c r="G10" s="60"/>
      <c r="H10" s="60"/>
      <c r="I10" s="60"/>
      <c r="J10" s="58"/>
      <c r="K10" s="58"/>
      <c r="L10" s="60"/>
      <c r="M10" s="60"/>
      <c r="N10" s="60"/>
      <c r="O10" s="58"/>
      <c r="P10" s="60"/>
      <c r="Q10" s="60"/>
      <c r="R10" s="60"/>
      <c r="S10" s="60"/>
      <c r="T10" s="60"/>
      <c r="U10" s="60"/>
      <c r="V10" s="60"/>
      <c r="W10" s="60"/>
      <c r="X10" s="60"/>
      <c r="Y10" s="59"/>
      <c r="Z10" s="130"/>
      <c r="AA10" s="131"/>
    </row>
    <row r="11" spans="1:27" customFormat="1" ht="13.5" thickBot="1">
      <c r="A11" s="51" t="s">
        <v>73</v>
      </c>
      <c r="B11" s="58"/>
      <c r="C11" s="59"/>
      <c r="D11" s="60"/>
      <c r="E11" s="60"/>
      <c r="F11" s="60"/>
      <c r="G11" s="60"/>
      <c r="H11" s="60"/>
      <c r="I11" s="60"/>
      <c r="J11" s="58"/>
      <c r="K11" s="58"/>
      <c r="L11" s="60"/>
      <c r="M11" s="60"/>
      <c r="N11" s="60"/>
      <c r="O11" s="58"/>
      <c r="P11" s="60"/>
      <c r="Q11" s="60"/>
      <c r="R11" s="60"/>
      <c r="S11" s="60"/>
      <c r="T11" s="60"/>
      <c r="U11" s="60"/>
      <c r="V11" s="60"/>
      <c r="W11" s="60"/>
      <c r="X11" s="60"/>
      <c r="Y11" s="59"/>
      <c r="Z11" s="130"/>
      <c r="AA11" s="131"/>
    </row>
    <row r="12" spans="1:27" customFormat="1" ht="13.5" thickBot="1">
      <c r="A12" s="82" t="s">
        <v>13</v>
      </c>
      <c r="B12" s="83" t="e">
        <f>B11/((3.14*$K4^2)/4)</f>
        <v>#DIV/0!</v>
      </c>
      <c r="C12" s="83" t="e">
        <f t="shared" ref="C12:AA12" si="0">C11/((3.14*$K4^2)/4)</f>
        <v>#DIV/0!</v>
      </c>
      <c r="D12" s="83" t="e">
        <f t="shared" si="0"/>
        <v>#DIV/0!</v>
      </c>
      <c r="E12" s="83" t="e">
        <f t="shared" si="0"/>
        <v>#DIV/0!</v>
      </c>
      <c r="F12" s="83" t="e">
        <f t="shared" si="0"/>
        <v>#DIV/0!</v>
      </c>
      <c r="G12" s="83" t="e">
        <f t="shared" si="0"/>
        <v>#DIV/0!</v>
      </c>
      <c r="H12" s="83" t="e">
        <f t="shared" si="0"/>
        <v>#DIV/0!</v>
      </c>
      <c r="I12" s="83" t="e">
        <f t="shared" si="0"/>
        <v>#DIV/0!</v>
      </c>
      <c r="J12" s="83" t="e">
        <f t="shared" si="0"/>
        <v>#DIV/0!</v>
      </c>
      <c r="K12" s="83" t="e">
        <f t="shared" si="0"/>
        <v>#DIV/0!</v>
      </c>
      <c r="L12" s="83" t="e">
        <f t="shared" si="0"/>
        <v>#DIV/0!</v>
      </c>
      <c r="M12" s="83" t="e">
        <f t="shared" si="0"/>
        <v>#DIV/0!</v>
      </c>
      <c r="N12" s="83" t="e">
        <f t="shared" si="0"/>
        <v>#DIV/0!</v>
      </c>
      <c r="O12" s="83" t="e">
        <f t="shared" si="0"/>
        <v>#DIV/0!</v>
      </c>
      <c r="P12" s="83" t="e">
        <f t="shared" si="0"/>
        <v>#DIV/0!</v>
      </c>
      <c r="Q12" s="83" t="e">
        <f t="shared" si="0"/>
        <v>#DIV/0!</v>
      </c>
      <c r="R12" s="83" t="e">
        <f t="shared" si="0"/>
        <v>#DIV/0!</v>
      </c>
      <c r="S12" s="83" t="e">
        <f t="shared" si="0"/>
        <v>#DIV/0!</v>
      </c>
      <c r="T12" s="83" t="e">
        <f t="shared" si="0"/>
        <v>#DIV/0!</v>
      </c>
      <c r="U12" s="83" t="e">
        <f t="shared" si="0"/>
        <v>#DIV/0!</v>
      </c>
      <c r="V12" s="83" t="e">
        <f t="shared" si="0"/>
        <v>#DIV/0!</v>
      </c>
      <c r="W12" s="83" t="e">
        <f t="shared" si="0"/>
        <v>#DIV/0!</v>
      </c>
      <c r="X12" s="83" t="e">
        <f t="shared" si="0"/>
        <v>#DIV/0!</v>
      </c>
      <c r="Y12" s="83" t="e">
        <f t="shared" si="0"/>
        <v>#DIV/0!</v>
      </c>
      <c r="Z12" s="83" t="e">
        <f t="shared" si="0"/>
        <v>#DIV/0!</v>
      </c>
      <c r="AA12" s="83" t="e">
        <f t="shared" si="0"/>
        <v>#DIV/0!</v>
      </c>
    </row>
    <row r="13" spans="1:27" customFormat="1" ht="13.5" thickBot="1">
      <c r="A13" s="51" t="s">
        <v>14</v>
      </c>
      <c r="B13" s="84"/>
      <c r="C13" s="85"/>
      <c r="D13" s="86"/>
      <c r="E13" s="86"/>
      <c r="F13" s="86"/>
      <c r="G13" s="86"/>
      <c r="H13" s="86"/>
      <c r="I13" s="86"/>
      <c r="J13" s="84"/>
      <c r="K13" s="84"/>
      <c r="L13" s="86"/>
      <c r="M13" s="86"/>
      <c r="N13" s="86"/>
      <c r="O13" s="84"/>
      <c r="P13" s="86"/>
      <c r="Q13" s="86"/>
      <c r="R13" s="86"/>
      <c r="S13" s="86"/>
      <c r="T13" s="86"/>
      <c r="U13" s="86"/>
      <c r="V13" s="86"/>
      <c r="W13" s="86"/>
      <c r="X13" s="86"/>
      <c r="Y13" s="85"/>
      <c r="Z13" s="132"/>
      <c r="AA13" s="133"/>
    </row>
    <row r="14" spans="1:27" customFormat="1" ht="13.5" thickBot="1">
      <c r="A14" s="82" t="s">
        <v>15</v>
      </c>
      <c r="B14" s="87" t="e">
        <f>(B13)/(3.14*$K5^2/4)</f>
        <v>#DIV/0!</v>
      </c>
      <c r="C14" s="88" t="e">
        <f t="shared" ref="C14:AA14" si="1">(C13)/(3.14*$K5^2/4)</f>
        <v>#DIV/0!</v>
      </c>
      <c r="D14" s="89" t="e">
        <f t="shared" si="1"/>
        <v>#DIV/0!</v>
      </c>
      <c r="E14" s="89" t="e">
        <f t="shared" si="1"/>
        <v>#DIV/0!</v>
      </c>
      <c r="F14" s="89" t="e">
        <f t="shared" si="1"/>
        <v>#DIV/0!</v>
      </c>
      <c r="G14" s="89" t="e">
        <f t="shared" si="1"/>
        <v>#DIV/0!</v>
      </c>
      <c r="H14" s="89" t="e">
        <f t="shared" si="1"/>
        <v>#DIV/0!</v>
      </c>
      <c r="I14" s="89" t="e">
        <f t="shared" si="1"/>
        <v>#DIV/0!</v>
      </c>
      <c r="J14" s="87" t="e">
        <f t="shared" si="1"/>
        <v>#DIV/0!</v>
      </c>
      <c r="K14" s="87" t="e">
        <f t="shared" si="1"/>
        <v>#DIV/0!</v>
      </c>
      <c r="L14" s="89" t="e">
        <f t="shared" si="1"/>
        <v>#DIV/0!</v>
      </c>
      <c r="M14" s="89" t="e">
        <f t="shared" si="1"/>
        <v>#DIV/0!</v>
      </c>
      <c r="N14" s="89" t="e">
        <f t="shared" si="1"/>
        <v>#DIV/0!</v>
      </c>
      <c r="O14" s="87" t="e">
        <f t="shared" si="1"/>
        <v>#DIV/0!</v>
      </c>
      <c r="P14" s="89" t="e">
        <f t="shared" si="1"/>
        <v>#DIV/0!</v>
      </c>
      <c r="Q14" s="89" t="e">
        <f t="shared" si="1"/>
        <v>#DIV/0!</v>
      </c>
      <c r="R14" s="89" t="e">
        <f t="shared" si="1"/>
        <v>#DIV/0!</v>
      </c>
      <c r="S14" s="89" t="e">
        <f t="shared" si="1"/>
        <v>#DIV/0!</v>
      </c>
      <c r="T14" s="89" t="e">
        <f t="shared" si="1"/>
        <v>#DIV/0!</v>
      </c>
      <c r="U14" s="89" t="e">
        <f t="shared" si="1"/>
        <v>#DIV/0!</v>
      </c>
      <c r="V14" s="89" t="e">
        <f t="shared" si="1"/>
        <v>#DIV/0!</v>
      </c>
      <c r="W14" s="89" t="e">
        <f t="shared" si="1"/>
        <v>#DIV/0!</v>
      </c>
      <c r="X14" s="89" t="e">
        <f t="shared" si="1"/>
        <v>#DIV/0!</v>
      </c>
      <c r="Y14" s="88" t="e">
        <f t="shared" si="1"/>
        <v>#DIV/0!</v>
      </c>
      <c r="Z14" s="134" t="e">
        <f t="shared" si="1"/>
        <v>#DIV/0!</v>
      </c>
      <c r="AA14" s="135" t="e">
        <f t="shared" si="1"/>
        <v>#DIV/0!</v>
      </c>
    </row>
    <row r="15" spans="1:27" customFormat="1" ht="13.5" thickBot="1">
      <c r="A15" s="61" t="s">
        <v>16</v>
      </c>
      <c r="B15" s="62">
        <f>(B11^2*$H4+B13^2*$H5)</f>
        <v>0</v>
      </c>
      <c r="C15" s="63">
        <f t="shared" ref="C15:AA15" si="2">(C11^2*$H4+C13^2*$H5)</f>
        <v>0</v>
      </c>
      <c r="D15" s="64">
        <f t="shared" si="2"/>
        <v>0</v>
      </c>
      <c r="E15" s="64">
        <f t="shared" si="2"/>
        <v>0</v>
      </c>
      <c r="F15" s="64">
        <f t="shared" si="2"/>
        <v>0</v>
      </c>
      <c r="G15" s="64">
        <f t="shared" si="2"/>
        <v>0</v>
      </c>
      <c r="H15" s="64">
        <f t="shared" si="2"/>
        <v>0</v>
      </c>
      <c r="I15" s="64">
        <f t="shared" si="2"/>
        <v>0</v>
      </c>
      <c r="J15" s="62">
        <f t="shared" si="2"/>
        <v>0</v>
      </c>
      <c r="K15" s="62">
        <f t="shared" si="2"/>
        <v>0</v>
      </c>
      <c r="L15" s="64">
        <f t="shared" si="2"/>
        <v>0</v>
      </c>
      <c r="M15" s="64">
        <f t="shared" si="2"/>
        <v>0</v>
      </c>
      <c r="N15" s="64">
        <f t="shared" si="2"/>
        <v>0</v>
      </c>
      <c r="O15" s="62">
        <f t="shared" si="2"/>
        <v>0</v>
      </c>
      <c r="P15" s="64">
        <f t="shared" si="2"/>
        <v>0</v>
      </c>
      <c r="Q15" s="64">
        <f t="shared" si="2"/>
        <v>0</v>
      </c>
      <c r="R15" s="64">
        <f t="shared" si="2"/>
        <v>0</v>
      </c>
      <c r="S15" s="64">
        <f>(S11^2*$H4+S13^2*$H5)</f>
        <v>0</v>
      </c>
      <c r="T15" s="64">
        <f t="shared" si="2"/>
        <v>0</v>
      </c>
      <c r="U15" s="64">
        <f t="shared" si="2"/>
        <v>0</v>
      </c>
      <c r="V15" s="64">
        <f t="shared" si="2"/>
        <v>0</v>
      </c>
      <c r="W15" s="64">
        <f t="shared" si="2"/>
        <v>0</v>
      </c>
      <c r="X15" s="64">
        <f t="shared" si="2"/>
        <v>0</v>
      </c>
      <c r="Y15" s="63">
        <f t="shared" si="2"/>
        <v>0</v>
      </c>
      <c r="Z15" s="136">
        <f>(Z11^2*B4+Z13^2*B5)</f>
        <v>0</v>
      </c>
      <c r="AA15" s="137">
        <f t="shared" si="2"/>
        <v>0</v>
      </c>
    </row>
    <row r="16" spans="1:27" customFormat="1" ht="13.5" thickBot="1">
      <c r="A16" s="82" t="s">
        <v>17</v>
      </c>
      <c r="B16" s="176">
        <f>B36+B37</f>
        <v>0</v>
      </c>
      <c r="C16" s="176">
        <f t="shared" ref="C16:Q16" si="3">C36+C37</f>
        <v>0</v>
      </c>
      <c r="D16" s="176">
        <f t="shared" si="3"/>
        <v>0</v>
      </c>
      <c r="E16" s="176">
        <f t="shared" si="3"/>
        <v>0</v>
      </c>
      <c r="F16" s="176">
        <f t="shared" si="3"/>
        <v>0</v>
      </c>
      <c r="G16" s="176">
        <f t="shared" si="3"/>
        <v>0</v>
      </c>
      <c r="H16" s="176">
        <f t="shared" si="3"/>
        <v>0</v>
      </c>
      <c r="I16" s="176">
        <f t="shared" si="3"/>
        <v>0</v>
      </c>
      <c r="J16" s="176">
        <f t="shared" si="3"/>
        <v>0</v>
      </c>
      <c r="K16" s="176">
        <f t="shared" si="3"/>
        <v>0</v>
      </c>
      <c r="L16" s="176">
        <f t="shared" si="3"/>
        <v>0</v>
      </c>
      <c r="M16" s="176">
        <f t="shared" si="3"/>
        <v>0</v>
      </c>
      <c r="N16" s="176">
        <f t="shared" si="3"/>
        <v>0</v>
      </c>
      <c r="O16" s="176">
        <f t="shared" si="3"/>
        <v>0</v>
      </c>
      <c r="P16" s="176">
        <f t="shared" si="3"/>
        <v>0</v>
      </c>
      <c r="Q16" s="176">
        <f t="shared" si="3"/>
        <v>0</v>
      </c>
      <c r="R16" s="178"/>
      <c r="S16" s="178"/>
      <c r="T16" s="178"/>
      <c r="U16" s="178"/>
      <c r="V16" s="178"/>
      <c r="W16" s="178"/>
      <c r="X16" s="178"/>
      <c r="Y16" s="177"/>
      <c r="Z16" s="179"/>
      <c r="AA16" s="180"/>
    </row>
    <row r="17" spans="1:27" customFormat="1" ht="13.5" thickBot="1">
      <c r="A17" s="61" t="s">
        <v>18</v>
      </c>
      <c r="B17" s="62">
        <f t="shared" ref="B17:Q17" si="4">(B16-B15-B18)</f>
        <v>0</v>
      </c>
      <c r="C17" s="63">
        <f t="shared" si="4"/>
        <v>0</v>
      </c>
      <c r="D17" s="64">
        <f t="shared" si="4"/>
        <v>0</v>
      </c>
      <c r="E17" s="64">
        <f t="shared" si="4"/>
        <v>0</v>
      </c>
      <c r="F17" s="64">
        <f t="shared" si="4"/>
        <v>0</v>
      </c>
      <c r="G17" s="64">
        <f t="shared" si="4"/>
        <v>0</v>
      </c>
      <c r="H17" s="64">
        <f t="shared" si="4"/>
        <v>0</v>
      </c>
      <c r="I17" s="64">
        <f t="shared" si="4"/>
        <v>0</v>
      </c>
      <c r="J17" s="62">
        <f t="shared" si="4"/>
        <v>0</v>
      </c>
      <c r="K17" s="62">
        <f t="shared" si="4"/>
        <v>0</v>
      </c>
      <c r="L17" s="64">
        <f t="shared" si="4"/>
        <v>0</v>
      </c>
      <c r="M17" s="64">
        <f t="shared" si="4"/>
        <v>0</v>
      </c>
      <c r="N17" s="64">
        <f t="shared" si="4"/>
        <v>0</v>
      </c>
      <c r="O17" s="62">
        <f t="shared" si="4"/>
        <v>0</v>
      </c>
      <c r="P17" s="64">
        <f t="shared" si="4"/>
        <v>0</v>
      </c>
      <c r="Q17" s="64">
        <f t="shared" si="4"/>
        <v>0</v>
      </c>
      <c r="R17" s="64">
        <f>(R16-R15-R18)</f>
        <v>0</v>
      </c>
      <c r="S17" s="64">
        <f>(S16-S15-S18)</f>
        <v>0</v>
      </c>
      <c r="T17" s="64">
        <f t="shared" ref="T17:AA17" si="5">(T16-T15-T18)</f>
        <v>0</v>
      </c>
      <c r="U17" s="64">
        <f t="shared" si="5"/>
        <v>0</v>
      </c>
      <c r="V17" s="64">
        <f t="shared" si="5"/>
        <v>0</v>
      </c>
      <c r="W17" s="64">
        <f t="shared" si="5"/>
        <v>0</v>
      </c>
      <c r="X17" s="64">
        <f t="shared" si="5"/>
        <v>0</v>
      </c>
      <c r="Y17" s="63">
        <f t="shared" si="5"/>
        <v>0</v>
      </c>
      <c r="Z17" s="136">
        <f t="shared" si="5"/>
        <v>0</v>
      </c>
      <c r="AA17" s="137">
        <f t="shared" si="5"/>
        <v>0</v>
      </c>
    </row>
    <row r="18" spans="1:27" customFormat="1" ht="13.5" thickBot="1">
      <c r="A18" s="65" t="s">
        <v>19</v>
      </c>
      <c r="B18" s="62">
        <f>(B7*B8*0.002725)</f>
        <v>0</v>
      </c>
      <c r="C18" s="63">
        <f t="shared" ref="C18:Q18" si="6">(C7*C8*0.002725)</f>
        <v>0</v>
      </c>
      <c r="D18" s="64">
        <f t="shared" si="6"/>
        <v>0</v>
      </c>
      <c r="E18" s="64">
        <f t="shared" si="6"/>
        <v>0</v>
      </c>
      <c r="F18" s="64">
        <f t="shared" si="6"/>
        <v>0</v>
      </c>
      <c r="G18" s="64">
        <f t="shared" si="6"/>
        <v>0</v>
      </c>
      <c r="H18" s="64">
        <f t="shared" si="6"/>
        <v>0</v>
      </c>
      <c r="I18" s="64">
        <f t="shared" si="6"/>
        <v>0</v>
      </c>
      <c r="J18" s="62">
        <f t="shared" si="6"/>
        <v>0</v>
      </c>
      <c r="K18" s="62">
        <f t="shared" si="6"/>
        <v>0</v>
      </c>
      <c r="L18" s="64">
        <f t="shared" si="6"/>
        <v>0</v>
      </c>
      <c r="M18" s="64">
        <f t="shared" si="6"/>
        <v>0</v>
      </c>
      <c r="N18" s="64">
        <f t="shared" si="6"/>
        <v>0</v>
      </c>
      <c r="O18" s="64">
        <f t="shared" si="6"/>
        <v>0</v>
      </c>
      <c r="P18" s="64">
        <f t="shared" si="6"/>
        <v>0</v>
      </c>
      <c r="Q18" s="64">
        <f t="shared" si="6"/>
        <v>0</v>
      </c>
      <c r="R18" s="64">
        <f>(R7*R8*0.002725)</f>
        <v>0</v>
      </c>
      <c r="S18" s="64">
        <f>(S7*S8*0.002725)</f>
        <v>0</v>
      </c>
      <c r="T18" s="64">
        <f t="shared" ref="T18:AA18" si="7">(T7*T8*0.002725)</f>
        <v>0</v>
      </c>
      <c r="U18" s="64">
        <f t="shared" si="7"/>
        <v>0</v>
      </c>
      <c r="V18" s="64">
        <f t="shared" si="7"/>
        <v>0</v>
      </c>
      <c r="W18" s="64">
        <f t="shared" si="7"/>
        <v>0</v>
      </c>
      <c r="X18" s="64">
        <f t="shared" si="7"/>
        <v>0</v>
      </c>
      <c r="Y18" s="63">
        <f t="shared" si="7"/>
        <v>0</v>
      </c>
      <c r="Z18" s="136">
        <f t="shared" si="7"/>
        <v>0</v>
      </c>
      <c r="AA18" s="137">
        <f t="shared" si="7"/>
        <v>0</v>
      </c>
    </row>
    <row r="19" spans="1:27" customFormat="1" ht="13.5" thickBot="1">
      <c r="A19" s="82" t="s">
        <v>59</v>
      </c>
      <c r="B19" s="108" t="e">
        <f t="shared" ref="B19:Q19" si="8">(B18/B16)</f>
        <v>#DIV/0!</v>
      </c>
      <c r="C19" s="109" t="e">
        <f t="shared" si="8"/>
        <v>#DIV/0!</v>
      </c>
      <c r="D19" s="110" t="e">
        <f t="shared" si="8"/>
        <v>#DIV/0!</v>
      </c>
      <c r="E19" s="110" t="e">
        <f t="shared" si="8"/>
        <v>#DIV/0!</v>
      </c>
      <c r="F19" s="110" t="e">
        <f t="shared" si="8"/>
        <v>#DIV/0!</v>
      </c>
      <c r="G19" s="110" t="e">
        <f t="shared" si="8"/>
        <v>#DIV/0!</v>
      </c>
      <c r="H19" s="110" t="e">
        <f t="shared" si="8"/>
        <v>#DIV/0!</v>
      </c>
      <c r="I19" s="110" t="e">
        <f t="shared" si="8"/>
        <v>#DIV/0!</v>
      </c>
      <c r="J19" s="108" t="e">
        <f t="shared" si="8"/>
        <v>#DIV/0!</v>
      </c>
      <c r="K19" s="108" t="e">
        <f t="shared" si="8"/>
        <v>#DIV/0!</v>
      </c>
      <c r="L19" s="110" t="e">
        <f>(L18/L16)</f>
        <v>#DIV/0!</v>
      </c>
      <c r="M19" s="110" t="e">
        <f t="shared" si="8"/>
        <v>#DIV/0!</v>
      </c>
      <c r="N19" s="110" t="e">
        <f t="shared" si="8"/>
        <v>#DIV/0!</v>
      </c>
      <c r="O19" s="110" t="e">
        <f t="shared" si="8"/>
        <v>#DIV/0!</v>
      </c>
      <c r="P19" s="110" t="e">
        <f t="shared" si="8"/>
        <v>#DIV/0!</v>
      </c>
      <c r="Q19" s="110" t="e">
        <f t="shared" si="8"/>
        <v>#DIV/0!</v>
      </c>
      <c r="R19" s="110" t="e">
        <f>(R18/R16)</f>
        <v>#DIV/0!</v>
      </c>
      <c r="S19" s="110" t="e">
        <f>(S18/S16)</f>
        <v>#DIV/0!</v>
      </c>
      <c r="T19" s="110" t="e">
        <f t="shared" ref="T19:AA19" si="9">(T18/T16)</f>
        <v>#DIV/0!</v>
      </c>
      <c r="U19" s="110" t="e">
        <f t="shared" si="9"/>
        <v>#DIV/0!</v>
      </c>
      <c r="V19" s="110" t="e">
        <f t="shared" si="9"/>
        <v>#DIV/0!</v>
      </c>
      <c r="W19" s="110" t="e">
        <f t="shared" si="9"/>
        <v>#DIV/0!</v>
      </c>
      <c r="X19" s="110" t="e">
        <f t="shared" si="9"/>
        <v>#DIV/0!</v>
      </c>
      <c r="Y19" s="109" t="e">
        <f t="shared" si="9"/>
        <v>#DIV/0!</v>
      </c>
      <c r="Z19" s="138" t="e">
        <f t="shared" si="9"/>
        <v>#DIV/0!</v>
      </c>
      <c r="AA19" s="139" t="e">
        <f t="shared" si="9"/>
        <v>#DIV/0!</v>
      </c>
    </row>
    <row r="20" spans="1:27" customFormat="1" ht="13.5" thickBot="1">
      <c r="A20" s="61" t="s">
        <v>20</v>
      </c>
      <c r="B20" s="62" t="e">
        <f>B16/(B6*B10)</f>
        <v>#DIV/0!</v>
      </c>
      <c r="C20" s="62" t="e">
        <f t="shared" ref="C20:AA20" si="10">C16/(C6*C10)</f>
        <v>#DIV/0!</v>
      </c>
      <c r="D20" s="62" t="e">
        <f t="shared" si="10"/>
        <v>#DIV/0!</v>
      </c>
      <c r="E20" s="62" t="e">
        <f t="shared" si="10"/>
        <v>#DIV/0!</v>
      </c>
      <c r="F20" s="62" t="e">
        <f t="shared" si="10"/>
        <v>#DIV/0!</v>
      </c>
      <c r="G20" s="62" t="e">
        <f t="shared" si="10"/>
        <v>#DIV/0!</v>
      </c>
      <c r="H20" s="62" t="e">
        <f t="shared" si="10"/>
        <v>#DIV/0!</v>
      </c>
      <c r="I20" s="62" t="e">
        <f t="shared" si="10"/>
        <v>#DIV/0!</v>
      </c>
      <c r="J20" s="62" t="e">
        <f t="shared" si="10"/>
        <v>#DIV/0!</v>
      </c>
      <c r="K20" s="62" t="e">
        <f t="shared" si="10"/>
        <v>#DIV/0!</v>
      </c>
      <c r="L20" s="62" t="e">
        <f t="shared" si="10"/>
        <v>#DIV/0!</v>
      </c>
      <c r="M20" s="62" t="e">
        <f t="shared" si="10"/>
        <v>#DIV/0!</v>
      </c>
      <c r="N20" s="62" t="e">
        <f t="shared" si="10"/>
        <v>#DIV/0!</v>
      </c>
      <c r="O20" s="62" t="e">
        <f t="shared" si="10"/>
        <v>#DIV/0!</v>
      </c>
      <c r="P20" s="62" t="e">
        <f t="shared" si="10"/>
        <v>#DIV/0!</v>
      </c>
      <c r="Q20" s="62" t="e">
        <f t="shared" si="10"/>
        <v>#DIV/0!</v>
      </c>
      <c r="R20" s="62" t="e">
        <f t="shared" si="10"/>
        <v>#DIV/0!</v>
      </c>
      <c r="S20" s="62" t="e">
        <f t="shared" si="10"/>
        <v>#DIV/0!</v>
      </c>
      <c r="T20" s="62" t="e">
        <f t="shared" si="10"/>
        <v>#DIV/0!</v>
      </c>
      <c r="U20" s="62" t="e">
        <f t="shared" si="10"/>
        <v>#DIV/0!</v>
      </c>
      <c r="V20" s="62" t="e">
        <f t="shared" si="10"/>
        <v>#DIV/0!</v>
      </c>
      <c r="W20" s="62" t="e">
        <f t="shared" si="10"/>
        <v>#DIV/0!</v>
      </c>
      <c r="X20" s="62" t="e">
        <f t="shared" si="10"/>
        <v>#DIV/0!</v>
      </c>
      <c r="Y20" s="62" t="e">
        <f t="shared" si="10"/>
        <v>#DIV/0!</v>
      </c>
      <c r="Z20" s="62" t="e">
        <f t="shared" si="10"/>
        <v>#DIV/0!</v>
      </c>
      <c r="AA20" s="62" t="e">
        <f t="shared" si="10"/>
        <v>#DIV/0!</v>
      </c>
    </row>
    <row r="21" spans="1:27" customFormat="1" ht="13.5" thickBot="1">
      <c r="A21" s="61" t="s">
        <v>21</v>
      </c>
      <c r="B21" s="66">
        <f>((3000-B9)/3000)</f>
        <v>1</v>
      </c>
      <c r="C21" s="67">
        <f t="shared" ref="C21:AA21" si="11">((3000-C9)/3000)</f>
        <v>1</v>
      </c>
      <c r="D21" s="68">
        <f t="shared" si="11"/>
        <v>1</v>
      </c>
      <c r="E21" s="68">
        <f t="shared" si="11"/>
        <v>1</v>
      </c>
      <c r="F21" s="68">
        <f t="shared" si="11"/>
        <v>1</v>
      </c>
      <c r="G21" s="68">
        <f t="shared" si="11"/>
        <v>1</v>
      </c>
      <c r="H21" s="68">
        <f t="shared" si="11"/>
        <v>1</v>
      </c>
      <c r="I21" s="68">
        <f t="shared" si="11"/>
        <v>1</v>
      </c>
      <c r="J21" s="66">
        <f t="shared" si="11"/>
        <v>1</v>
      </c>
      <c r="K21" s="66">
        <f t="shared" si="11"/>
        <v>1</v>
      </c>
      <c r="L21" s="68">
        <f t="shared" si="11"/>
        <v>1</v>
      </c>
      <c r="M21" s="68">
        <f t="shared" si="11"/>
        <v>1</v>
      </c>
      <c r="N21" s="68">
        <f t="shared" si="11"/>
        <v>1</v>
      </c>
      <c r="O21" s="68">
        <f t="shared" si="11"/>
        <v>1</v>
      </c>
      <c r="P21" s="68">
        <f t="shared" si="11"/>
        <v>1</v>
      </c>
      <c r="Q21" s="68">
        <f t="shared" si="11"/>
        <v>1</v>
      </c>
      <c r="R21" s="68">
        <f t="shared" si="11"/>
        <v>1</v>
      </c>
      <c r="S21" s="68">
        <f t="shared" si="11"/>
        <v>1</v>
      </c>
      <c r="T21" s="68">
        <f t="shared" si="11"/>
        <v>1</v>
      </c>
      <c r="U21" s="68">
        <f t="shared" si="11"/>
        <v>1</v>
      </c>
      <c r="V21" s="68">
        <f t="shared" si="11"/>
        <v>1</v>
      </c>
      <c r="W21" s="68">
        <f t="shared" si="11"/>
        <v>1</v>
      </c>
      <c r="X21" s="68">
        <f t="shared" si="11"/>
        <v>1</v>
      </c>
      <c r="Y21" s="67">
        <f t="shared" si="11"/>
        <v>1</v>
      </c>
      <c r="Z21" s="140">
        <f t="shared" si="11"/>
        <v>1</v>
      </c>
      <c r="AA21" s="141">
        <f t="shared" si="11"/>
        <v>1</v>
      </c>
    </row>
    <row r="22" spans="1:27" customFormat="1" ht="13.5" thickBot="1">
      <c r="A22" s="61" t="s">
        <v>22</v>
      </c>
      <c r="B22" s="62" t="e">
        <f t="shared" ref="B22:AA22" si="12">(ACOS(B20))*57.296</f>
        <v>#DIV/0!</v>
      </c>
      <c r="C22" s="63" t="e">
        <f>(ACOS(C20))*57.296</f>
        <v>#DIV/0!</v>
      </c>
      <c r="D22" s="64" t="e">
        <f t="shared" si="12"/>
        <v>#DIV/0!</v>
      </c>
      <c r="E22" s="64" t="e">
        <f t="shared" si="12"/>
        <v>#DIV/0!</v>
      </c>
      <c r="F22" s="64" t="e">
        <f t="shared" si="12"/>
        <v>#DIV/0!</v>
      </c>
      <c r="G22" s="64" t="e">
        <f t="shared" si="12"/>
        <v>#DIV/0!</v>
      </c>
      <c r="H22" s="64" t="e">
        <f t="shared" si="12"/>
        <v>#DIV/0!</v>
      </c>
      <c r="I22" s="64" t="e">
        <f t="shared" si="12"/>
        <v>#DIV/0!</v>
      </c>
      <c r="J22" s="62" t="e">
        <f t="shared" si="12"/>
        <v>#DIV/0!</v>
      </c>
      <c r="K22" s="62" t="e">
        <f t="shared" si="12"/>
        <v>#DIV/0!</v>
      </c>
      <c r="L22" s="64" t="e">
        <f t="shared" si="12"/>
        <v>#DIV/0!</v>
      </c>
      <c r="M22" s="64" t="e">
        <f t="shared" si="12"/>
        <v>#DIV/0!</v>
      </c>
      <c r="N22" s="64" t="e">
        <f t="shared" si="12"/>
        <v>#DIV/0!</v>
      </c>
      <c r="O22" s="62" t="e">
        <f t="shared" ref="O22:U22" si="13">(ACOS(O20))*57.296</f>
        <v>#DIV/0!</v>
      </c>
      <c r="P22" s="64" t="e">
        <f t="shared" si="13"/>
        <v>#DIV/0!</v>
      </c>
      <c r="Q22" s="64" t="e">
        <f t="shared" si="13"/>
        <v>#DIV/0!</v>
      </c>
      <c r="R22" s="64" t="e">
        <f t="shared" si="13"/>
        <v>#DIV/0!</v>
      </c>
      <c r="S22" s="64" t="e">
        <f t="shared" si="13"/>
        <v>#DIV/0!</v>
      </c>
      <c r="T22" s="64" t="e">
        <f t="shared" si="13"/>
        <v>#DIV/0!</v>
      </c>
      <c r="U22" s="64" t="e">
        <f t="shared" si="13"/>
        <v>#DIV/0!</v>
      </c>
      <c r="V22" s="64" t="e">
        <f t="shared" si="12"/>
        <v>#DIV/0!</v>
      </c>
      <c r="W22" s="64" t="e">
        <f t="shared" si="12"/>
        <v>#DIV/0!</v>
      </c>
      <c r="X22" s="64" t="e">
        <f t="shared" si="12"/>
        <v>#DIV/0!</v>
      </c>
      <c r="Y22" s="63" t="e">
        <f t="shared" si="12"/>
        <v>#DIV/0!</v>
      </c>
      <c r="Z22" s="136" t="e">
        <f t="shared" si="12"/>
        <v>#DIV/0!</v>
      </c>
      <c r="AA22" s="137" t="e">
        <f t="shared" si="12"/>
        <v>#DIV/0!</v>
      </c>
    </row>
    <row r="23" spans="1:27" customFormat="1" ht="13.5" thickBot="1">
      <c r="A23" s="61" t="s">
        <v>23</v>
      </c>
      <c r="B23" s="62" t="e">
        <f t="shared" ref="B23:AA23" si="14">B22+(ACOS((B13^2-B11^2-B10^2)/(-2*B11*B10)))*57.296</f>
        <v>#DIV/0!</v>
      </c>
      <c r="C23" s="63" t="e">
        <f t="shared" si="14"/>
        <v>#DIV/0!</v>
      </c>
      <c r="D23" s="64" t="e">
        <f t="shared" si="14"/>
        <v>#DIV/0!</v>
      </c>
      <c r="E23" s="64" t="e">
        <f t="shared" si="14"/>
        <v>#DIV/0!</v>
      </c>
      <c r="F23" s="64" t="e">
        <f t="shared" si="14"/>
        <v>#DIV/0!</v>
      </c>
      <c r="G23" s="64" t="e">
        <f t="shared" si="14"/>
        <v>#DIV/0!</v>
      </c>
      <c r="H23" s="64" t="e">
        <f t="shared" si="14"/>
        <v>#DIV/0!</v>
      </c>
      <c r="I23" s="64" t="e">
        <f t="shared" si="14"/>
        <v>#DIV/0!</v>
      </c>
      <c r="J23" s="64" t="e">
        <f t="shared" si="14"/>
        <v>#DIV/0!</v>
      </c>
      <c r="K23" s="62" t="e">
        <f t="shared" si="14"/>
        <v>#DIV/0!</v>
      </c>
      <c r="L23" s="64" t="e">
        <f t="shared" si="14"/>
        <v>#DIV/0!</v>
      </c>
      <c r="M23" s="64" t="e">
        <f t="shared" si="14"/>
        <v>#DIV/0!</v>
      </c>
      <c r="N23" s="64" t="e">
        <f t="shared" si="14"/>
        <v>#DIV/0!</v>
      </c>
      <c r="O23" s="62" t="e">
        <f t="shared" ref="O23:U23" si="15">O22+(ACOS((O13^2-O11^2-O10^2)/(-2*O11*O10)))*57.296</f>
        <v>#DIV/0!</v>
      </c>
      <c r="P23" s="64" t="e">
        <f t="shared" si="15"/>
        <v>#DIV/0!</v>
      </c>
      <c r="Q23" s="64" t="e">
        <f t="shared" si="15"/>
        <v>#DIV/0!</v>
      </c>
      <c r="R23" s="64" t="e">
        <f t="shared" si="15"/>
        <v>#DIV/0!</v>
      </c>
      <c r="S23" s="64" t="e">
        <f t="shared" si="15"/>
        <v>#DIV/0!</v>
      </c>
      <c r="T23" s="64" t="e">
        <f t="shared" si="15"/>
        <v>#DIV/0!</v>
      </c>
      <c r="U23" s="64" t="e">
        <f t="shared" si="15"/>
        <v>#DIV/0!</v>
      </c>
      <c r="V23" s="64" t="e">
        <f t="shared" si="14"/>
        <v>#DIV/0!</v>
      </c>
      <c r="W23" s="64" t="e">
        <f t="shared" si="14"/>
        <v>#DIV/0!</v>
      </c>
      <c r="X23" s="64" t="e">
        <f t="shared" si="14"/>
        <v>#DIV/0!</v>
      </c>
      <c r="Y23" s="63" t="e">
        <f t="shared" si="14"/>
        <v>#DIV/0!</v>
      </c>
      <c r="Z23" s="136" t="e">
        <f t="shared" si="14"/>
        <v>#DIV/0!</v>
      </c>
      <c r="AA23" s="137" t="e">
        <f t="shared" si="14"/>
        <v>#DIV/0!</v>
      </c>
    </row>
    <row r="24" spans="1:27" customFormat="1" ht="13.5" thickBot="1">
      <c r="A24" s="61" t="s">
        <v>24</v>
      </c>
      <c r="B24" s="62" t="e">
        <f t="shared" ref="B24:AA24" si="16">(((ACOS((B11^2-B13^2-B10^2)/(-2*B13*B10)))*57.296)-B22)*(-1)</f>
        <v>#DIV/0!</v>
      </c>
      <c r="C24" s="63" t="e">
        <f t="shared" si="16"/>
        <v>#DIV/0!</v>
      </c>
      <c r="D24" s="64" t="e">
        <f t="shared" si="16"/>
        <v>#DIV/0!</v>
      </c>
      <c r="E24" s="64" t="e">
        <f t="shared" si="16"/>
        <v>#DIV/0!</v>
      </c>
      <c r="F24" s="64" t="e">
        <f t="shared" si="16"/>
        <v>#DIV/0!</v>
      </c>
      <c r="G24" s="64" t="e">
        <f t="shared" si="16"/>
        <v>#DIV/0!</v>
      </c>
      <c r="H24" s="64" t="e">
        <f t="shared" si="16"/>
        <v>#DIV/0!</v>
      </c>
      <c r="I24" s="64" t="e">
        <f t="shared" si="16"/>
        <v>#DIV/0!</v>
      </c>
      <c r="J24" s="62" t="e">
        <f t="shared" si="16"/>
        <v>#DIV/0!</v>
      </c>
      <c r="K24" s="62" t="e">
        <f t="shared" si="16"/>
        <v>#DIV/0!</v>
      </c>
      <c r="L24" s="64" t="e">
        <f t="shared" si="16"/>
        <v>#DIV/0!</v>
      </c>
      <c r="M24" s="64" t="e">
        <f t="shared" si="16"/>
        <v>#DIV/0!</v>
      </c>
      <c r="N24" s="64" t="e">
        <f t="shared" si="16"/>
        <v>#DIV/0!</v>
      </c>
      <c r="O24" s="62" t="e">
        <f t="shared" ref="O24:U24" si="17">(((ACOS((O11^2-O13^2-O10^2)/(-2*O13*O10)))*57.296)-O22)*(-1)</f>
        <v>#DIV/0!</v>
      </c>
      <c r="P24" s="64" t="e">
        <f t="shared" si="17"/>
        <v>#DIV/0!</v>
      </c>
      <c r="Q24" s="64" t="e">
        <f t="shared" si="17"/>
        <v>#DIV/0!</v>
      </c>
      <c r="R24" s="64" t="e">
        <f t="shared" si="17"/>
        <v>#DIV/0!</v>
      </c>
      <c r="S24" s="64" t="e">
        <f t="shared" si="17"/>
        <v>#DIV/0!</v>
      </c>
      <c r="T24" s="64" t="e">
        <f t="shared" si="17"/>
        <v>#DIV/0!</v>
      </c>
      <c r="U24" s="64" t="e">
        <f t="shared" si="17"/>
        <v>#DIV/0!</v>
      </c>
      <c r="V24" s="64" t="e">
        <f t="shared" si="16"/>
        <v>#DIV/0!</v>
      </c>
      <c r="W24" s="64" t="e">
        <f t="shared" si="16"/>
        <v>#DIV/0!</v>
      </c>
      <c r="X24" s="64" t="e">
        <f t="shared" si="16"/>
        <v>#DIV/0!</v>
      </c>
      <c r="Y24" s="63" t="e">
        <f t="shared" si="16"/>
        <v>#DIV/0!</v>
      </c>
      <c r="Z24" s="136" t="e">
        <f t="shared" si="16"/>
        <v>#DIV/0!</v>
      </c>
      <c r="AA24" s="137" t="e">
        <f t="shared" si="16"/>
        <v>#DIV/0!</v>
      </c>
    </row>
    <row r="25" spans="1:27" customFormat="1" ht="13.5" thickBot="1">
      <c r="A25" s="61" t="s">
        <v>25</v>
      </c>
      <c r="B25" s="62" t="e">
        <f>(-B24+B23)</f>
        <v>#DIV/0!</v>
      </c>
      <c r="C25" s="63" t="e">
        <f t="shared" ref="C25:AA25" si="18">(-C24+C23)</f>
        <v>#DIV/0!</v>
      </c>
      <c r="D25" s="64" t="e">
        <f t="shared" si="18"/>
        <v>#DIV/0!</v>
      </c>
      <c r="E25" s="64" t="e">
        <f t="shared" si="18"/>
        <v>#DIV/0!</v>
      </c>
      <c r="F25" s="64" t="e">
        <f t="shared" si="18"/>
        <v>#DIV/0!</v>
      </c>
      <c r="G25" s="64" t="e">
        <f t="shared" si="18"/>
        <v>#DIV/0!</v>
      </c>
      <c r="H25" s="64" t="e">
        <f t="shared" si="18"/>
        <v>#DIV/0!</v>
      </c>
      <c r="I25" s="64" t="e">
        <f t="shared" si="18"/>
        <v>#DIV/0!</v>
      </c>
      <c r="J25" s="62" t="e">
        <f t="shared" si="18"/>
        <v>#DIV/0!</v>
      </c>
      <c r="K25" s="62" t="e">
        <f t="shared" si="18"/>
        <v>#DIV/0!</v>
      </c>
      <c r="L25" s="64" t="e">
        <f t="shared" si="18"/>
        <v>#DIV/0!</v>
      </c>
      <c r="M25" s="64" t="e">
        <f t="shared" si="18"/>
        <v>#DIV/0!</v>
      </c>
      <c r="N25" s="64" t="e">
        <f t="shared" si="18"/>
        <v>#DIV/0!</v>
      </c>
      <c r="O25" s="62" t="e">
        <f t="shared" ref="O25:U25" si="19">(-O24+O23)</f>
        <v>#DIV/0!</v>
      </c>
      <c r="P25" s="64" t="e">
        <f t="shared" si="19"/>
        <v>#DIV/0!</v>
      </c>
      <c r="Q25" s="64" t="e">
        <f t="shared" si="19"/>
        <v>#DIV/0!</v>
      </c>
      <c r="R25" s="64" t="e">
        <f t="shared" si="19"/>
        <v>#DIV/0!</v>
      </c>
      <c r="S25" s="64" t="e">
        <f t="shared" si="19"/>
        <v>#DIV/0!</v>
      </c>
      <c r="T25" s="64" t="e">
        <f t="shared" si="19"/>
        <v>#DIV/0!</v>
      </c>
      <c r="U25" s="64" t="e">
        <f t="shared" si="19"/>
        <v>#DIV/0!</v>
      </c>
      <c r="V25" s="64" t="e">
        <f t="shared" si="18"/>
        <v>#DIV/0!</v>
      </c>
      <c r="W25" s="64" t="e">
        <f t="shared" si="18"/>
        <v>#DIV/0!</v>
      </c>
      <c r="X25" s="64" t="e">
        <f t="shared" si="18"/>
        <v>#DIV/0!</v>
      </c>
      <c r="Y25" s="63" t="e">
        <f t="shared" si="18"/>
        <v>#DIV/0!</v>
      </c>
      <c r="Z25" s="136" t="e">
        <f t="shared" si="18"/>
        <v>#DIV/0!</v>
      </c>
      <c r="AA25" s="137" t="e">
        <f t="shared" si="18"/>
        <v>#DIV/0!</v>
      </c>
    </row>
    <row r="26" spans="1:27" customFormat="1" ht="13.5" thickBot="1">
      <c r="A26" s="57" t="s">
        <v>26</v>
      </c>
      <c r="B26" s="90"/>
      <c r="C26" s="91"/>
      <c r="D26" s="92"/>
      <c r="E26" s="92"/>
      <c r="F26" s="92"/>
      <c r="G26" s="92"/>
      <c r="H26" s="92"/>
      <c r="I26" s="92"/>
      <c r="J26" s="90"/>
      <c r="K26" s="90"/>
      <c r="L26" s="92"/>
      <c r="M26" s="92"/>
      <c r="N26" s="92"/>
      <c r="O26" s="90"/>
      <c r="P26" s="92"/>
      <c r="Q26" s="92"/>
      <c r="R26" s="92"/>
      <c r="S26" s="92"/>
      <c r="T26" s="92"/>
      <c r="U26" s="92"/>
      <c r="V26" s="92"/>
      <c r="W26" s="92"/>
      <c r="X26" s="92"/>
      <c r="Y26" s="91"/>
      <c r="Z26" s="142">
        <v>388</v>
      </c>
      <c r="AA26" s="143"/>
    </row>
    <row r="27" spans="1:27" customFormat="1" ht="13.5" thickBot="1">
      <c r="A27" s="61" t="s">
        <v>27</v>
      </c>
      <c r="B27" s="62">
        <f t="shared" ref="B27:AA27" si="20">(B11^2*$H4)</f>
        <v>0</v>
      </c>
      <c r="C27" s="63">
        <f t="shared" si="20"/>
        <v>0</v>
      </c>
      <c r="D27" s="64">
        <f t="shared" si="20"/>
        <v>0</v>
      </c>
      <c r="E27" s="64">
        <f t="shared" si="20"/>
        <v>0</v>
      </c>
      <c r="F27" s="64">
        <f t="shared" si="20"/>
        <v>0</v>
      </c>
      <c r="G27" s="64">
        <f t="shared" si="20"/>
        <v>0</v>
      </c>
      <c r="H27" s="64">
        <f t="shared" si="20"/>
        <v>0</v>
      </c>
      <c r="I27" s="64">
        <f t="shared" si="20"/>
        <v>0</v>
      </c>
      <c r="J27" s="62">
        <f t="shared" si="20"/>
        <v>0</v>
      </c>
      <c r="K27" s="62">
        <f t="shared" si="20"/>
        <v>0</v>
      </c>
      <c r="L27" s="64">
        <f t="shared" si="20"/>
        <v>0</v>
      </c>
      <c r="M27" s="64">
        <f t="shared" si="20"/>
        <v>0</v>
      </c>
      <c r="N27" s="64">
        <f t="shared" si="20"/>
        <v>0</v>
      </c>
      <c r="O27" s="62">
        <f t="shared" si="20"/>
        <v>0</v>
      </c>
      <c r="P27" s="64">
        <f t="shared" si="20"/>
        <v>0</v>
      </c>
      <c r="Q27" s="64">
        <f t="shared" si="20"/>
        <v>0</v>
      </c>
      <c r="R27" s="64">
        <f t="shared" si="20"/>
        <v>0</v>
      </c>
      <c r="S27" s="64">
        <f t="shared" si="20"/>
        <v>0</v>
      </c>
      <c r="T27" s="64">
        <f t="shared" si="20"/>
        <v>0</v>
      </c>
      <c r="U27" s="64">
        <f t="shared" si="20"/>
        <v>0</v>
      </c>
      <c r="V27" s="64">
        <f t="shared" si="20"/>
        <v>0</v>
      </c>
      <c r="W27" s="64">
        <f t="shared" si="20"/>
        <v>0</v>
      </c>
      <c r="X27" s="64">
        <f t="shared" si="20"/>
        <v>0</v>
      </c>
      <c r="Y27" s="63">
        <f t="shared" si="20"/>
        <v>0</v>
      </c>
      <c r="Z27" s="136">
        <f t="shared" si="20"/>
        <v>0</v>
      </c>
      <c r="AA27" s="137">
        <f t="shared" si="20"/>
        <v>0</v>
      </c>
    </row>
    <row r="28" spans="1:27" customFormat="1" ht="13.5" thickBot="1">
      <c r="A28" s="61" t="s">
        <v>28</v>
      </c>
      <c r="B28" s="62">
        <f t="shared" ref="B28:AA28" si="21">(B13^2*$H5)</f>
        <v>0</v>
      </c>
      <c r="C28" s="63">
        <f t="shared" si="21"/>
        <v>0</v>
      </c>
      <c r="D28" s="64">
        <f t="shared" si="21"/>
        <v>0</v>
      </c>
      <c r="E28" s="64">
        <f t="shared" si="21"/>
        <v>0</v>
      </c>
      <c r="F28" s="64">
        <f t="shared" si="21"/>
        <v>0</v>
      </c>
      <c r="G28" s="64">
        <f t="shared" si="21"/>
        <v>0</v>
      </c>
      <c r="H28" s="64">
        <f t="shared" si="21"/>
        <v>0</v>
      </c>
      <c r="I28" s="64">
        <f t="shared" si="21"/>
        <v>0</v>
      </c>
      <c r="J28" s="62">
        <f t="shared" si="21"/>
        <v>0</v>
      </c>
      <c r="K28" s="62">
        <f t="shared" si="21"/>
        <v>0</v>
      </c>
      <c r="L28" s="64">
        <f t="shared" si="21"/>
        <v>0</v>
      </c>
      <c r="M28" s="64">
        <f t="shared" si="21"/>
        <v>0</v>
      </c>
      <c r="N28" s="64">
        <f t="shared" si="21"/>
        <v>0</v>
      </c>
      <c r="O28" s="62">
        <f t="shared" si="21"/>
        <v>0</v>
      </c>
      <c r="P28" s="64">
        <f t="shared" si="21"/>
        <v>0</v>
      </c>
      <c r="Q28" s="64">
        <f t="shared" si="21"/>
        <v>0</v>
      </c>
      <c r="R28" s="64">
        <f t="shared" si="21"/>
        <v>0</v>
      </c>
      <c r="S28" s="64">
        <f t="shared" si="21"/>
        <v>0</v>
      </c>
      <c r="T28" s="64">
        <f t="shared" si="21"/>
        <v>0</v>
      </c>
      <c r="U28" s="64">
        <f t="shared" si="21"/>
        <v>0</v>
      </c>
      <c r="V28" s="64">
        <f t="shared" si="21"/>
        <v>0</v>
      </c>
      <c r="W28" s="64">
        <f t="shared" si="21"/>
        <v>0</v>
      </c>
      <c r="X28" s="64">
        <f t="shared" si="21"/>
        <v>0</v>
      </c>
      <c r="Y28" s="63">
        <f t="shared" si="21"/>
        <v>0</v>
      </c>
      <c r="Z28" s="136">
        <f t="shared" si="21"/>
        <v>0</v>
      </c>
      <c r="AA28" s="137">
        <f t="shared" si="21"/>
        <v>0</v>
      </c>
    </row>
    <row r="29" spans="1:27" customFormat="1" ht="13.5" thickBot="1">
      <c r="A29" s="82" t="s">
        <v>58</v>
      </c>
      <c r="B29" s="111" t="e">
        <f>(19.62*B8+0.0000000488*B7^2)/(0.000000002741*(B9*$N5)^2)</f>
        <v>#DIV/0!</v>
      </c>
      <c r="C29" s="112" t="e">
        <f t="shared" ref="C29:Z29" si="22">(19.62*C8+0.0000000488*C7^2)/(0.000000002741*(C9*$N5)^2)</f>
        <v>#DIV/0!</v>
      </c>
      <c r="D29" s="113" t="e">
        <f t="shared" si="22"/>
        <v>#DIV/0!</v>
      </c>
      <c r="E29" s="113" t="e">
        <f t="shared" si="22"/>
        <v>#DIV/0!</v>
      </c>
      <c r="F29" s="113" t="e">
        <f t="shared" si="22"/>
        <v>#DIV/0!</v>
      </c>
      <c r="G29" s="113" t="e">
        <f t="shared" si="22"/>
        <v>#DIV/0!</v>
      </c>
      <c r="H29" s="113" t="e">
        <f t="shared" si="22"/>
        <v>#DIV/0!</v>
      </c>
      <c r="I29" s="113" t="e">
        <f t="shared" si="22"/>
        <v>#DIV/0!</v>
      </c>
      <c r="J29" s="111" t="e">
        <f t="shared" si="22"/>
        <v>#DIV/0!</v>
      </c>
      <c r="K29" s="111" t="e">
        <f t="shared" si="22"/>
        <v>#DIV/0!</v>
      </c>
      <c r="L29" s="113" t="e">
        <f t="shared" si="22"/>
        <v>#DIV/0!</v>
      </c>
      <c r="M29" s="113" t="e">
        <f t="shared" si="22"/>
        <v>#DIV/0!</v>
      </c>
      <c r="N29" s="113" t="e">
        <f t="shared" si="22"/>
        <v>#DIV/0!</v>
      </c>
      <c r="O29" s="113" t="e">
        <f>(19.62*O8+0.0000000488*O7^2)/(0.000000002741*(O9*$N5)^2)</f>
        <v>#DIV/0!</v>
      </c>
      <c r="P29" s="113" t="e">
        <f t="shared" si="22"/>
        <v>#DIV/0!</v>
      </c>
      <c r="Q29" s="113" t="e">
        <f t="shared" si="22"/>
        <v>#DIV/0!</v>
      </c>
      <c r="R29" s="113" t="e">
        <f t="shared" si="22"/>
        <v>#DIV/0!</v>
      </c>
      <c r="S29" s="113" t="e">
        <f t="shared" si="22"/>
        <v>#DIV/0!</v>
      </c>
      <c r="T29" s="113" t="e">
        <f t="shared" si="22"/>
        <v>#DIV/0!</v>
      </c>
      <c r="U29" s="113" t="e">
        <f t="shared" si="22"/>
        <v>#DIV/0!</v>
      </c>
      <c r="V29" s="113" t="e">
        <f t="shared" si="22"/>
        <v>#DIV/0!</v>
      </c>
      <c r="W29" s="113" t="e">
        <f t="shared" si="22"/>
        <v>#DIV/0!</v>
      </c>
      <c r="X29" s="113" t="e">
        <f t="shared" si="22"/>
        <v>#DIV/0!</v>
      </c>
      <c r="Y29" s="112" t="e">
        <f t="shared" si="22"/>
        <v>#DIV/0!</v>
      </c>
      <c r="Z29" s="144" t="e">
        <f t="shared" si="22"/>
        <v>#DIV/0!</v>
      </c>
      <c r="AA29" s="145" t="e">
        <f>(19.62*AA8+0.0000000488*AA7^2)/(0.000000002741*(AA9*$N4)^2)</f>
        <v>#DIV/0!</v>
      </c>
    </row>
    <row r="30" spans="1:27" customFormat="1" ht="13.5" thickBot="1">
      <c r="A30" s="57" t="s">
        <v>29</v>
      </c>
      <c r="B30" s="90"/>
      <c r="C30" s="91"/>
      <c r="D30" s="92"/>
      <c r="E30" s="92"/>
      <c r="F30" s="92"/>
      <c r="G30" s="92"/>
      <c r="H30" s="92"/>
      <c r="I30" s="92"/>
      <c r="J30" s="90"/>
      <c r="K30" s="90"/>
      <c r="L30" s="92"/>
      <c r="M30" s="92"/>
      <c r="N30" s="92"/>
      <c r="O30" s="90"/>
      <c r="P30" s="92"/>
      <c r="Q30" s="92"/>
      <c r="R30" s="92"/>
      <c r="S30" s="92"/>
      <c r="T30" s="92"/>
      <c r="U30" s="92"/>
      <c r="V30" s="92"/>
      <c r="W30" s="92"/>
      <c r="X30" s="92"/>
      <c r="Y30" s="91"/>
      <c r="Z30" s="142">
        <v>288</v>
      </c>
      <c r="AA30" s="143"/>
    </row>
    <row r="31" spans="1:27" customFormat="1" ht="13.5" thickBot="1">
      <c r="A31" s="61" t="s">
        <v>30</v>
      </c>
      <c r="B31" s="62" t="e">
        <f t="shared" ref="B31:AA31" si="23">(SUM($I48:$M48)*2)/B30</f>
        <v>#DIV/0!</v>
      </c>
      <c r="C31" s="63" t="e">
        <f t="shared" si="23"/>
        <v>#DIV/0!</v>
      </c>
      <c r="D31" s="64" t="e">
        <f t="shared" si="23"/>
        <v>#DIV/0!</v>
      </c>
      <c r="E31" s="64" t="e">
        <f t="shared" si="23"/>
        <v>#DIV/0!</v>
      </c>
      <c r="F31" s="64" t="e">
        <f t="shared" si="23"/>
        <v>#DIV/0!</v>
      </c>
      <c r="G31" s="64" t="e">
        <f t="shared" si="23"/>
        <v>#DIV/0!</v>
      </c>
      <c r="H31" s="64" t="e">
        <f t="shared" si="23"/>
        <v>#DIV/0!</v>
      </c>
      <c r="I31" s="64" t="e">
        <f t="shared" si="23"/>
        <v>#DIV/0!</v>
      </c>
      <c r="J31" s="62" t="e">
        <f t="shared" si="23"/>
        <v>#DIV/0!</v>
      </c>
      <c r="K31" s="62" t="e">
        <f t="shared" si="23"/>
        <v>#DIV/0!</v>
      </c>
      <c r="L31" s="64" t="e">
        <f t="shared" si="23"/>
        <v>#DIV/0!</v>
      </c>
      <c r="M31" s="64" t="e">
        <f t="shared" si="23"/>
        <v>#DIV/0!</v>
      </c>
      <c r="N31" s="64" t="e">
        <f t="shared" si="23"/>
        <v>#DIV/0!</v>
      </c>
      <c r="O31" s="62" t="e">
        <f t="shared" si="23"/>
        <v>#DIV/0!</v>
      </c>
      <c r="P31" s="64" t="e">
        <f t="shared" si="23"/>
        <v>#DIV/0!</v>
      </c>
      <c r="Q31" s="64" t="e">
        <f t="shared" si="23"/>
        <v>#DIV/0!</v>
      </c>
      <c r="R31" s="64" t="e">
        <f t="shared" si="23"/>
        <v>#DIV/0!</v>
      </c>
      <c r="S31" s="64" t="e">
        <f t="shared" si="23"/>
        <v>#DIV/0!</v>
      </c>
      <c r="T31" s="64" t="e">
        <f t="shared" si="23"/>
        <v>#DIV/0!</v>
      </c>
      <c r="U31" s="64" t="e">
        <f t="shared" si="23"/>
        <v>#DIV/0!</v>
      </c>
      <c r="V31" s="64" t="e">
        <f t="shared" si="23"/>
        <v>#DIV/0!</v>
      </c>
      <c r="W31" s="64" t="e">
        <f t="shared" si="23"/>
        <v>#DIV/0!</v>
      </c>
      <c r="X31" s="64" t="e">
        <f t="shared" si="23"/>
        <v>#DIV/0!</v>
      </c>
      <c r="Y31" s="63" t="e">
        <f t="shared" si="23"/>
        <v>#DIV/0!</v>
      </c>
      <c r="Z31" s="136">
        <f t="shared" si="23"/>
        <v>0</v>
      </c>
      <c r="AA31" s="137" t="e">
        <f t="shared" si="23"/>
        <v>#DIV/0!</v>
      </c>
    </row>
    <row r="32" spans="1:27" customFormat="1" ht="13.5" thickBot="1">
      <c r="A32" s="61" t="s">
        <v>31</v>
      </c>
      <c r="B32" s="62" t="e">
        <f>(3.1416-ACOS((B30^2-B26^2-220^2)/((-2)*B26*220))-ACOS((220^2-B26^2-B30^2)/((-2)*B26*B30))+B24*0.0174)*57.296</f>
        <v>#DIV/0!</v>
      </c>
      <c r="C32" s="63" t="e">
        <f t="shared" ref="C32:AA32" si="24">(3.1416-ACOS((C30^2-C26^2-220^2)/((-2)*C26*220))-ACOS((220^2-C26^2-C30^2)/((-2)*C26*C30))+C24*0.0174)*57.296</f>
        <v>#DIV/0!</v>
      </c>
      <c r="D32" s="64" t="e">
        <f t="shared" si="24"/>
        <v>#DIV/0!</v>
      </c>
      <c r="E32" s="64" t="e">
        <f t="shared" si="24"/>
        <v>#DIV/0!</v>
      </c>
      <c r="F32" s="64" t="e">
        <f t="shared" si="24"/>
        <v>#DIV/0!</v>
      </c>
      <c r="G32" s="64" t="e">
        <f t="shared" si="24"/>
        <v>#DIV/0!</v>
      </c>
      <c r="H32" s="64" t="e">
        <f t="shared" si="24"/>
        <v>#DIV/0!</v>
      </c>
      <c r="I32" s="64" t="e">
        <f t="shared" si="24"/>
        <v>#DIV/0!</v>
      </c>
      <c r="J32" s="62" t="e">
        <f t="shared" si="24"/>
        <v>#DIV/0!</v>
      </c>
      <c r="K32" s="62" t="e">
        <f t="shared" si="24"/>
        <v>#DIV/0!</v>
      </c>
      <c r="L32" s="64" t="e">
        <f t="shared" si="24"/>
        <v>#DIV/0!</v>
      </c>
      <c r="M32" s="64" t="e">
        <f t="shared" si="24"/>
        <v>#DIV/0!</v>
      </c>
      <c r="N32" s="64" t="e">
        <f t="shared" si="24"/>
        <v>#DIV/0!</v>
      </c>
      <c r="O32" s="62" t="e">
        <f t="shared" si="24"/>
        <v>#DIV/0!</v>
      </c>
      <c r="P32" s="64" t="e">
        <f t="shared" si="24"/>
        <v>#DIV/0!</v>
      </c>
      <c r="Q32" s="64" t="e">
        <f t="shared" si="24"/>
        <v>#DIV/0!</v>
      </c>
      <c r="R32" s="64" t="e">
        <f t="shared" si="24"/>
        <v>#DIV/0!</v>
      </c>
      <c r="S32" s="64" t="e">
        <f t="shared" si="24"/>
        <v>#DIV/0!</v>
      </c>
      <c r="T32" s="64" t="e">
        <f t="shared" si="24"/>
        <v>#DIV/0!</v>
      </c>
      <c r="U32" s="64" t="e">
        <f t="shared" si="24"/>
        <v>#DIV/0!</v>
      </c>
      <c r="V32" s="64" t="e">
        <f t="shared" si="24"/>
        <v>#DIV/0!</v>
      </c>
      <c r="W32" s="64" t="e">
        <f t="shared" si="24"/>
        <v>#DIV/0!</v>
      </c>
      <c r="X32" s="64" t="e">
        <f t="shared" si="24"/>
        <v>#DIV/0!</v>
      </c>
      <c r="Y32" s="63" t="e">
        <f t="shared" si="24"/>
        <v>#DIV/0!</v>
      </c>
      <c r="Z32" s="136" t="e">
        <f t="shared" si="24"/>
        <v>#DIV/0!</v>
      </c>
      <c r="AA32" s="137" t="e">
        <f t="shared" si="24"/>
        <v>#DIV/0!</v>
      </c>
    </row>
    <row r="33" spans="1:30" customFormat="1" ht="13.5" thickBot="1">
      <c r="A33" s="61" t="s">
        <v>32</v>
      </c>
      <c r="B33" s="69" t="e">
        <f>(ACOS((B30^2-B26^2-220^2)/((-2)*B26*220))-0.0174*B24)*57.296</f>
        <v>#DIV/0!</v>
      </c>
      <c r="C33" s="70" t="e">
        <f t="shared" ref="C33:AA33" si="25">(ACOS((C30^2-C26^2-220^2)/((-2)*C26*220))-0.0174*C24)*57.296</f>
        <v>#DIV/0!</v>
      </c>
      <c r="D33" s="71" t="e">
        <f t="shared" si="25"/>
        <v>#DIV/0!</v>
      </c>
      <c r="E33" s="71" t="e">
        <f t="shared" si="25"/>
        <v>#DIV/0!</v>
      </c>
      <c r="F33" s="71" t="e">
        <f t="shared" si="25"/>
        <v>#DIV/0!</v>
      </c>
      <c r="G33" s="71" t="e">
        <f t="shared" si="25"/>
        <v>#DIV/0!</v>
      </c>
      <c r="H33" s="71" t="e">
        <f t="shared" si="25"/>
        <v>#DIV/0!</v>
      </c>
      <c r="I33" s="71" t="e">
        <f t="shared" si="25"/>
        <v>#DIV/0!</v>
      </c>
      <c r="J33" s="72" t="e">
        <f t="shared" si="25"/>
        <v>#DIV/0!</v>
      </c>
      <c r="K33" s="72" t="e">
        <f t="shared" si="25"/>
        <v>#DIV/0!</v>
      </c>
      <c r="L33" s="73" t="e">
        <f t="shared" si="25"/>
        <v>#DIV/0!</v>
      </c>
      <c r="M33" s="73" t="e">
        <f t="shared" si="25"/>
        <v>#DIV/0!</v>
      </c>
      <c r="N33" s="73" t="e">
        <f t="shared" si="25"/>
        <v>#DIV/0!</v>
      </c>
      <c r="O33" s="69" t="e">
        <f t="shared" si="25"/>
        <v>#DIV/0!</v>
      </c>
      <c r="P33" s="71" t="e">
        <f t="shared" si="25"/>
        <v>#DIV/0!</v>
      </c>
      <c r="Q33" s="71" t="e">
        <f t="shared" si="25"/>
        <v>#DIV/0!</v>
      </c>
      <c r="R33" s="71" t="e">
        <f t="shared" si="25"/>
        <v>#DIV/0!</v>
      </c>
      <c r="S33" s="71" t="e">
        <f t="shared" si="25"/>
        <v>#DIV/0!</v>
      </c>
      <c r="T33" s="71" t="e">
        <f t="shared" si="25"/>
        <v>#DIV/0!</v>
      </c>
      <c r="U33" s="71" t="e">
        <f t="shared" si="25"/>
        <v>#DIV/0!</v>
      </c>
      <c r="V33" s="71" t="e">
        <f t="shared" si="25"/>
        <v>#DIV/0!</v>
      </c>
      <c r="W33" s="71" t="e">
        <f t="shared" si="25"/>
        <v>#DIV/0!</v>
      </c>
      <c r="X33" s="71" t="e">
        <f t="shared" si="25"/>
        <v>#DIV/0!</v>
      </c>
      <c r="Y33" s="70" t="e">
        <f t="shared" si="25"/>
        <v>#DIV/0!</v>
      </c>
      <c r="Z33" s="146" t="e">
        <f t="shared" si="25"/>
        <v>#DIV/0!</v>
      </c>
      <c r="AA33" s="147" t="e">
        <f t="shared" si="25"/>
        <v>#DIV/0!</v>
      </c>
    </row>
    <row r="34" spans="1:30" customFormat="1" ht="13.5" thickBot="1">
      <c r="A34" s="61" t="s">
        <v>55</v>
      </c>
      <c r="B34" s="69">
        <f>(2*SUM($B48:$F48))/220</f>
        <v>0</v>
      </c>
      <c r="C34" s="70">
        <f t="shared" ref="C34:AA34" si="26">(2*SUM($B48:$F48))/220</f>
        <v>0</v>
      </c>
      <c r="D34" s="71">
        <f t="shared" si="26"/>
        <v>0</v>
      </c>
      <c r="E34" s="71">
        <f t="shared" si="26"/>
        <v>0</v>
      </c>
      <c r="F34" s="71">
        <f t="shared" si="26"/>
        <v>0</v>
      </c>
      <c r="G34" s="71">
        <f t="shared" si="26"/>
        <v>0</v>
      </c>
      <c r="H34" s="71">
        <f t="shared" si="26"/>
        <v>0</v>
      </c>
      <c r="I34" s="71">
        <f t="shared" si="26"/>
        <v>0</v>
      </c>
      <c r="J34" s="69">
        <f t="shared" si="26"/>
        <v>0</v>
      </c>
      <c r="K34" s="69">
        <f t="shared" si="26"/>
        <v>0</v>
      </c>
      <c r="L34" s="71">
        <f t="shared" si="26"/>
        <v>0</v>
      </c>
      <c r="M34" s="71">
        <f t="shared" si="26"/>
        <v>0</v>
      </c>
      <c r="N34" s="71">
        <f t="shared" si="26"/>
        <v>0</v>
      </c>
      <c r="O34" s="69">
        <f t="shared" si="26"/>
        <v>0</v>
      </c>
      <c r="P34" s="71">
        <f t="shared" si="26"/>
        <v>0</v>
      </c>
      <c r="Q34" s="71">
        <f t="shared" si="26"/>
        <v>0</v>
      </c>
      <c r="R34" s="71">
        <f t="shared" si="26"/>
        <v>0</v>
      </c>
      <c r="S34" s="71">
        <f t="shared" si="26"/>
        <v>0</v>
      </c>
      <c r="T34" s="71">
        <f t="shared" si="26"/>
        <v>0</v>
      </c>
      <c r="U34" s="71">
        <f t="shared" si="26"/>
        <v>0</v>
      </c>
      <c r="V34" s="71">
        <f t="shared" si="26"/>
        <v>0</v>
      </c>
      <c r="W34" s="71">
        <f t="shared" si="26"/>
        <v>0</v>
      </c>
      <c r="X34" s="71">
        <f t="shared" si="26"/>
        <v>0</v>
      </c>
      <c r="Y34" s="70">
        <f t="shared" si="26"/>
        <v>0</v>
      </c>
      <c r="Z34" s="146">
        <f t="shared" si="26"/>
        <v>0</v>
      </c>
      <c r="AA34" s="147">
        <f t="shared" si="26"/>
        <v>0</v>
      </c>
    </row>
    <row r="35" spans="1:30" customFormat="1" ht="13.5" thickBot="1">
      <c r="A35" s="74" t="s">
        <v>57</v>
      </c>
      <c r="B35" s="75" t="e">
        <f>B18/(B16-B15-$K3)</f>
        <v>#DIV/0!</v>
      </c>
      <c r="C35" s="76" t="e">
        <f t="shared" ref="C35:AA35" si="27">C18/(C16-C15-$K3)</f>
        <v>#DIV/0!</v>
      </c>
      <c r="D35" s="77" t="e">
        <f t="shared" si="27"/>
        <v>#DIV/0!</v>
      </c>
      <c r="E35" s="77" t="e">
        <f t="shared" si="27"/>
        <v>#DIV/0!</v>
      </c>
      <c r="F35" s="77" t="e">
        <f t="shared" si="27"/>
        <v>#DIV/0!</v>
      </c>
      <c r="G35" s="77" t="e">
        <f t="shared" si="27"/>
        <v>#DIV/0!</v>
      </c>
      <c r="H35" s="77" t="e">
        <f t="shared" si="27"/>
        <v>#DIV/0!</v>
      </c>
      <c r="I35" s="77" t="e">
        <f t="shared" si="27"/>
        <v>#DIV/0!</v>
      </c>
      <c r="J35" s="75" t="e">
        <f t="shared" si="27"/>
        <v>#DIV/0!</v>
      </c>
      <c r="K35" s="77" t="e">
        <f t="shared" si="27"/>
        <v>#DIV/0!</v>
      </c>
      <c r="L35" s="77" t="e">
        <f t="shared" si="27"/>
        <v>#DIV/0!</v>
      </c>
      <c r="M35" s="77" t="e">
        <f t="shared" si="27"/>
        <v>#DIV/0!</v>
      </c>
      <c r="N35" s="77" t="e">
        <f t="shared" si="27"/>
        <v>#DIV/0!</v>
      </c>
      <c r="O35" s="77" t="e">
        <f t="shared" si="27"/>
        <v>#DIV/0!</v>
      </c>
      <c r="P35" s="77" t="e">
        <f t="shared" si="27"/>
        <v>#DIV/0!</v>
      </c>
      <c r="Q35" s="77" t="e">
        <f t="shared" si="27"/>
        <v>#DIV/0!</v>
      </c>
      <c r="R35" s="77" t="e">
        <f t="shared" si="27"/>
        <v>#DIV/0!</v>
      </c>
      <c r="S35" s="77" t="e">
        <f>S18/(S16-S15-$K3)</f>
        <v>#DIV/0!</v>
      </c>
      <c r="T35" s="77" t="e">
        <f t="shared" si="27"/>
        <v>#DIV/0!</v>
      </c>
      <c r="U35" s="77" t="e">
        <f t="shared" si="27"/>
        <v>#DIV/0!</v>
      </c>
      <c r="V35" s="77" t="e">
        <f t="shared" si="27"/>
        <v>#DIV/0!</v>
      </c>
      <c r="W35" s="77" t="e">
        <f t="shared" si="27"/>
        <v>#DIV/0!</v>
      </c>
      <c r="X35" s="77" t="e">
        <f t="shared" si="27"/>
        <v>#DIV/0!</v>
      </c>
      <c r="Y35" s="76" t="e">
        <f t="shared" si="27"/>
        <v>#DIV/0!</v>
      </c>
      <c r="Z35" s="148" t="e">
        <f t="shared" si="27"/>
        <v>#DIV/0!</v>
      </c>
      <c r="AA35" s="149" t="e">
        <f t="shared" si="27"/>
        <v>#DIV/0!</v>
      </c>
    </row>
    <row r="36" spans="1:30" customFormat="1" ht="13.5" customHeight="1" thickBot="1">
      <c r="A36" s="93" t="s">
        <v>53</v>
      </c>
      <c r="B36" s="94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120"/>
      <c r="Z36" s="150"/>
      <c r="AA36" s="151"/>
    </row>
    <row r="37" spans="1:30" customFormat="1" ht="13.5" customHeight="1" thickBot="1">
      <c r="A37" s="96" t="s">
        <v>54</v>
      </c>
      <c r="B37" s="97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121"/>
      <c r="Z37" s="152"/>
      <c r="AA37" s="153"/>
    </row>
    <row r="38" spans="1:30" customFormat="1" ht="13.5" customHeight="1" thickBot="1">
      <c r="A38" s="74" t="s">
        <v>56</v>
      </c>
      <c r="B38" s="75" t="e">
        <f>(B16-B15-$K3)/B16</f>
        <v>#DIV/0!</v>
      </c>
      <c r="C38" s="77" t="e">
        <f t="shared" ref="C38:AA38" si="28">(C16-C15-$K3)/C16</f>
        <v>#DIV/0!</v>
      </c>
      <c r="D38" s="77" t="e">
        <f t="shared" si="28"/>
        <v>#DIV/0!</v>
      </c>
      <c r="E38" s="77" t="e">
        <f t="shared" si="28"/>
        <v>#DIV/0!</v>
      </c>
      <c r="F38" s="77" t="e">
        <f t="shared" si="28"/>
        <v>#DIV/0!</v>
      </c>
      <c r="G38" s="77" t="e">
        <f t="shared" si="28"/>
        <v>#DIV/0!</v>
      </c>
      <c r="H38" s="77" t="e">
        <f t="shared" si="28"/>
        <v>#DIV/0!</v>
      </c>
      <c r="I38" s="77" t="e">
        <f t="shared" si="28"/>
        <v>#DIV/0!</v>
      </c>
      <c r="J38" s="77" t="e">
        <f t="shared" si="28"/>
        <v>#DIV/0!</v>
      </c>
      <c r="K38" s="77" t="e">
        <f t="shared" si="28"/>
        <v>#DIV/0!</v>
      </c>
      <c r="L38" s="77" t="e">
        <f t="shared" si="28"/>
        <v>#DIV/0!</v>
      </c>
      <c r="M38" s="77" t="e">
        <f t="shared" si="28"/>
        <v>#DIV/0!</v>
      </c>
      <c r="N38" s="77" t="e">
        <f t="shared" si="28"/>
        <v>#DIV/0!</v>
      </c>
      <c r="O38" s="77" t="e">
        <f t="shared" si="28"/>
        <v>#DIV/0!</v>
      </c>
      <c r="P38" s="77" t="e">
        <f t="shared" si="28"/>
        <v>#DIV/0!</v>
      </c>
      <c r="Q38" s="77" t="e">
        <f t="shared" si="28"/>
        <v>#DIV/0!</v>
      </c>
      <c r="R38" s="77" t="e">
        <f t="shared" si="28"/>
        <v>#DIV/0!</v>
      </c>
      <c r="S38" s="77" t="e">
        <f t="shared" si="28"/>
        <v>#DIV/0!</v>
      </c>
      <c r="T38" s="77" t="e">
        <f t="shared" si="28"/>
        <v>#DIV/0!</v>
      </c>
      <c r="U38" s="77" t="e">
        <f t="shared" si="28"/>
        <v>#DIV/0!</v>
      </c>
      <c r="V38" s="77" t="e">
        <f t="shared" si="28"/>
        <v>#DIV/0!</v>
      </c>
      <c r="W38" s="77" t="e">
        <f t="shared" si="28"/>
        <v>#DIV/0!</v>
      </c>
      <c r="X38" s="77" t="e">
        <f t="shared" si="28"/>
        <v>#DIV/0!</v>
      </c>
      <c r="Y38" s="76" t="e">
        <f t="shared" si="28"/>
        <v>#DIV/0!</v>
      </c>
      <c r="Z38" s="148" t="e">
        <f t="shared" si="28"/>
        <v>#DIV/0!</v>
      </c>
      <c r="AA38" s="149" t="e">
        <f t="shared" si="28"/>
        <v>#DIV/0!</v>
      </c>
    </row>
    <row r="39" spans="1:30" customFormat="1" ht="13.5" thickBot="1">
      <c r="A39" s="78" t="s">
        <v>60</v>
      </c>
      <c r="B39" s="79">
        <f>B16-B15-$K3</f>
        <v>0</v>
      </c>
      <c r="C39" s="80">
        <f t="shared" ref="C39:AA39" si="29">C16-C15-$K3</f>
        <v>0</v>
      </c>
      <c r="D39" s="80">
        <f t="shared" si="29"/>
        <v>0</v>
      </c>
      <c r="E39" s="80">
        <f t="shared" si="29"/>
        <v>0</v>
      </c>
      <c r="F39" s="80">
        <f t="shared" si="29"/>
        <v>0</v>
      </c>
      <c r="G39" s="80">
        <f t="shared" si="29"/>
        <v>0</v>
      </c>
      <c r="H39" s="80">
        <f t="shared" si="29"/>
        <v>0</v>
      </c>
      <c r="I39" s="80">
        <f t="shared" si="29"/>
        <v>0</v>
      </c>
      <c r="J39" s="80">
        <f t="shared" si="29"/>
        <v>0</v>
      </c>
      <c r="K39" s="80">
        <f t="shared" si="29"/>
        <v>0</v>
      </c>
      <c r="L39" s="80">
        <f t="shared" si="29"/>
        <v>0</v>
      </c>
      <c r="M39" s="80">
        <f t="shared" si="29"/>
        <v>0</v>
      </c>
      <c r="N39" s="80">
        <f t="shared" si="29"/>
        <v>0</v>
      </c>
      <c r="O39" s="80">
        <f t="shared" si="29"/>
        <v>0</v>
      </c>
      <c r="P39" s="80">
        <f t="shared" si="29"/>
        <v>0</v>
      </c>
      <c r="Q39" s="80">
        <f t="shared" si="29"/>
        <v>0</v>
      </c>
      <c r="R39" s="80">
        <f t="shared" si="29"/>
        <v>0</v>
      </c>
      <c r="S39" s="80">
        <f t="shared" si="29"/>
        <v>0</v>
      </c>
      <c r="T39" s="80">
        <f t="shared" si="29"/>
        <v>0</v>
      </c>
      <c r="U39" s="80">
        <f t="shared" si="29"/>
        <v>0</v>
      </c>
      <c r="V39" s="80">
        <f t="shared" si="29"/>
        <v>0</v>
      </c>
      <c r="W39" s="80">
        <f t="shared" si="29"/>
        <v>0</v>
      </c>
      <c r="X39" s="80">
        <f t="shared" si="29"/>
        <v>0</v>
      </c>
      <c r="Y39" s="122">
        <f t="shared" si="29"/>
        <v>0</v>
      </c>
      <c r="Z39" s="154">
        <f t="shared" si="29"/>
        <v>0</v>
      </c>
      <c r="AA39" s="155">
        <f t="shared" si="29"/>
        <v>0</v>
      </c>
    </row>
    <row r="40" spans="1:30" ht="14.25" thickTop="1" thickBot="1">
      <c r="A40" s="99" t="s">
        <v>62</v>
      </c>
      <c r="B40" s="162"/>
      <c r="C40" s="163"/>
      <c r="D40" s="163"/>
      <c r="E40" s="163"/>
      <c r="F40" s="164"/>
      <c r="G40" s="163"/>
      <c r="H40" s="164"/>
      <c r="I40" s="163"/>
      <c r="J40" s="163"/>
      <c r="K40" s="163"/>
      <c r="L40" s="163"/>
      <c r="M40" s="163"/>
      <c r="N40" s="163"/>
      <c r="O40" s="163"/>
      <c r="P40" s="165"/>
      <c r="Q40" s="165"/>
      <c r="R40" s="165"/>
      <c r="S40" s="101"/>
      <c r="T40" s="101"/>
      <c r="U40" s="101"/>
      <c r="V40" s="100"/>
      <c r="W40" s="100"/>
      <c r="X40" s="102"/>
      <c r="Y40" s="123"/>
      <c r="Z40" s="156"/>
      <c r="AA40" s="157"/>
    </row>
    <row r="41" spans="1:30" ht="13.5" thickTop="1"/>
    <row r="43" spans="1:30" ht="13.5" thickBot="1"/>
    <row r="44" spans="1:30" ht="35.25" thickTop="1" thickBot="1">
      <c r="A44" s="12"/>
      <c r="B44" s="22"/>
      <c r="S44" s="23"/>
      <c r="T44" s="24" t="s">
        <v>33</v>
      </c>
      <c r="U44" s="103"/>
      <c r="V44" s="187" t="s">
        <v>34</v>
      </c>
      <c r="W44" s="188"/>
      <c r="X44" s="103"/>
      <c r="Y44" s="187" t="s">
        <v>35</v>
      </c>
      <c r="Z44" s="188"/>
      <c r="AA44" s="166" t="e">
        <f>U44+((E4/B4)-1)/0.004</f>
        <v>#DIV/0!</v>
      </c>
      <c r="AB44" s="187" t="s">
        <v>36</v>
      </c>
      <c r="AC44" s="188"/>
      <c r="AD44" s="104"/>
    </row>
    <row r="45" spans="1:30" ht="35.25" thickTop="1" thickBot="1">
      <c r="A45" s="189"/>
      <c r="B45" s="189"/>
      <c r="R45" s="3"/>
      <c r="T45" s="13" t="s">
        <v>37</v>
      </c>
      <c r="U45" s="46"/>
      <c r="V45" s="193" t="s">
        <v>38</v>
      </c>
      <c r="W45" s="194"/>
      <c r="X45" s="46"/>
      <c r="Y45" s="193" t="s">
        <v>39</v>
      </c>
      <c r="Z45" s="194"/>
      <c r="AA45" s="166" t="e">
        <f>U44+((E5/B5)-1)/0.004</f>
        <v>#DIV/0!</v>
      </c>
      <c r="AB45" s="193" t="s">
        <v>40</v>
      </c>
      <c r="AC45" s="194"/>
      <c r="AD45" s="105"/>
    </row>
    <row r="46" spans="1:30" ht="14.25" thickTop="1" thickBot="1">
      <c r="A46" s="190" t="s">
        <v>41</v>
      </c>
      <c r="B46" s="191"/>
      <c r="C46" s="191"/>
      <c r="D46" s="191"/>
      <c r="E46" s="191"/>
      <c r="F46" s="192"/>
      <c r="H46" s="182" t="s">
        <v>42</v>
      </c>
      <c r="I46" s="183"/>
      <c r="J46" s="183"/>
      <c r="K46" s="183"/>
      <c r="L46" s="184"/>
      <c r="R46" s="3" t="s">
        <v>50</v>
      </c>
    </row>
    <row r="47" spans="1:30" ht="13.5" thickTop="1">
      <c r="A47" s="25" t="s">
        <v>43</v>
      </c>
      <c r="B47" s="26">
        <v>4</v>
      </c>
      <c r="C47" s="26">
        <v>6</v>
      </c>
      <c r="D47" s="26">
        <v>8</v>
      </c>
      <c r="E47" s="26">
        <v>10</v>
      </c>
      <c r="F47" s="27">
        <v>12</v>
      </c>
      <c r="H47" s="28" t="s">
        <v>43</v>
      </c>
      <c r="I47" s="29">
        <v>6</v>
      </c>
      <c r="J47" s="29">
        <v>8</v>
      </c>
      <c r="K47" s="29">
        <v>10</v>
      </c>
      <c r="L47" s="30">
        <v>12</v>
      </c>
    </row>
    <row r="48" spans="1:30" ht="13.5" thickBot="1">
      <c r="A48" s="25" t="s">
        <v>44</v>
      </c>
      <c r="B48" s="26"/>
      <c r="C48" s="26"/>
      <c r="D48" s="26"/>
      <c r="E48" s="26"/>
      <c r="F48" s="27"/>
      <c r="H48" s="31" t="s">
        <v>44</v>
      </c>
      <c r="I48" s="32"/>
      <c r="J48" s="32"/>
      <c r="K48" s="32"/>
      <c r="L48" s="33"/>
      <c r="N48" s="22"/>
    </row>
    <row r="49" spans="1:28" ht="14.25" thickTop="1" thickBot="1">
      <c r="A49" s="34" t="s">
        <v>45</v>
      </c>
      <c r="B49" s="185">
        <f>(2*SUM(B48:F48))/220</f>
        <v>0</v>
      </c>
      <c r="C49" s="185"/>
      <c r="D49" s="185"/>
      <c r="E49" s="185"/>
      <c r="F49" s="186"/>
    </row>
    <row r="50" spans="1:28" ht="13.5" thickTop="1"/>
    <row r="51" spans="1:28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</row>
    <row r="52" spans="1:28">
      <c r="A52" s="21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AB52" s="181"/>
    </row>
    <row r="53" spans="1:28">
      <c r="A53" s="21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7"/>
    </row>
    <row r="54" spans="1:28">
      <c r="A54" s="21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</row>
    <row r="55" spans="1:28">
      <c r="A55" s="21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</row>
    <row r="56" spans="1:28">
      <c r="A56" s="21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</row>
    <row r="57" spans="1:28">
      <c r="A57" s="37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</row>
  </sheetData>
  <sheetProtection selectLockedCells="1" selectUnlockedCells="1"/>
  <mergeCells count="26">
    <mergeCell ref="C2:D2"/>
    <mergeCell ref="F2:G2"/>
    <mergeCell ref="I2:J2"/>
    <mergeCell ref="L2:M2"/>
    <mergeCell ref="C3:D3"/>
    <mergeCell ref="F3:G3"/>
    <mergeCell ref="I3:J3"/>
    <mergeCell ref="L3:M3"/>
    <mergeCell ref="C4:D4"/>
    <mergeCell ref="F4:G4"/>
    <mergeCell ref="I4:J4"/>
    <mergeCell ref="L4:M4"/>
    <mergeCell ref="C5:D5"/>
    <mergeCell ref="F5:G5"/>
    <mergeCell ref="I5:J5"/>
    <mergeCell ref="L5:M5"/>
    <mergeCell ref="H46:L46"/>
    <mergeCell ref="B49:F49"/>
    <mergeCell ref="V44:W44"/>
    <mergeCell ref="Y44:Z44"/>
    <mergeCell ref="AB44:AC44"/>
    <mergeCell ref="A45:B45"/>
    <mergeCell ref="A46:F46"/>
    <mergeCell ref="V45:W45"/>
    <mergeCell ref="Y45:Z45"/>
    <mergeCell ref="AB45:AC45"/>
  </mergeCells>
  <pageMargins left="0.75" right="0.75" top="0.86111111111111116" bottom="1" header="0.51180555555555551" footer="0.51180555555555551"/>
  <pageSetup paperSize="9" firstPageNumber="0" orientation="landscape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2:A44"/>
  <sheetViews>
    <sheetView showGridLines="0" workbookViewId="0">
      <selection activeCell="P70" sqref="P70"/>
    </sheetView>
  </sheetViews>
  <sheetFormatPr baseColWidth="10" defaultRowHeight="12.75"/>
  <sheetData>
    <row r="2" spans="1:1">
      <c r="A2" s="1"/>
    </row>
    <row r="3" spans="1:1">
      <c r="A3" s="2"/>
    </row>
    <row r="4" spans="1:1">
      <c r="A4" s="2"/>
    </row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</sheetData>
  <sheetProtection selectLockedCells="1" selectUnlockedCells="1"/>
  <pageMargins left="0.75" right="0.75" top="1" bottom="1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Informe</vt:lpstr>
      <vt:lpstr>Graficos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achaij</dc:creator>
  <cp:lastModifiedBy>scasas</cp:lastModifiedBy>
  <cp:lastPrinted>2012-07-12T12:15:10Z</cp:lastPrinted>
  <dcterms:created xsi:type="dcterms:W3CDTF">2011-03-15T16:59:10Z</dcterms:created>
  <dcterms:modified xsi:type="dcterms:W3CDTF">2025-10-28T15:00:47Z</dcterms:modified>
</cp:coreProperties>
</file>