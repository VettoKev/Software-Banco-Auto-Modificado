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105" yWindow="-15" windowWidth="11940" windowHeight="9675" activeTab="1"/>
  </bookViews>
  <sheets>
    <sheet name="Datos" sheetId="5" r:id="rId1"/>
    <sheet name="Informe" sheetId="1" r:id="rId2"/>
    <sheet name="Graficos" sheetId="3" r:id="rId3"/>
    <sheet name="Fotos" sheetId="4" r:id="rId4"/>
  </sheets>
  <calcPr calcId="125725"/>
</workbook>
</file>

<file path=xl/calcChain.xml><?xml version="1.0" encoding="utf-8"?>
<calcChain xmlns="http://schemas.openxmlformats.org/spreadsheetml/2006/main">
  <c r="C9" i="1"/>
  <c r="H19"/>
  <c r="H18"/>
  <c r="Z12" l="1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Z9" l="1"/>
  <c r="Y9"/>
  <c r="Y10" s="1"/>
  <c r="X9"/>
  <c r="W9"/>
  <c r="V9"/>
  <c r="U9"/>
  <c r="T9"/>
  <c r="S9"/>
  <c r="R9"/>
  <c r="Q9"/>
  <c r="P9"/>
  <c r="O9"/>
  <c r="N9"/>
  <c r="B9"/>
  <c r="Z10" l="1"/>
  <c r="X11"/>
  <c r="W11"/>
  <c r="V11"/>
  <c r="U11" s="1"/>
  <c r="U10"/>
  <c r="T10"/>
  <c r="S10" s="1"/>
  <c r="S11"/>
  <c r="R11"/>
  <c r="Q11"/>
  <c r="P11"/>
  <c r="O11"/>
  <c r="X10" l="1"/>
  <c r="R10"/>
  <c r="V10"/>
  <c r="T11"/>
  <c r="O10"/>
  <c r="W10"/>
  <c r="P10"/>
  <c r="Q10"/>
  <c r="K11"/>
  <c r="D11"/>
  <c r="H11"/>
  <c r="L11"/>
  <c r="C11"/>
  <c r="G11"/>
  <c r="B11"/>
  <c r="F11"/>
  <c r="J11"/>
  <c r="N11"/>
  <c r="N10"/>
  <c r="E11"/>
  <c r="I11"/>
  <c r="M11"/>
  <c r="B10" l="1"/>
  <c r="C10" l="1"/>
  <c r="Z11" l="1"/>
  <c r="Y11" s="1"/>
  <c r="M9"/>
  <c r="M10" s="1"/>
  <c r="D9" l="1"/>
  <c r="D10" l="1"/>
  <c r="E9"/>
  <c r="F9" l="1"/>
  <c r="E10"/>
  <c r="F10" l="1"/>
  <c r="G9"/>
  <c r="H9" l="1"/>
  <c r="G10"/>
  <c r="I9" l="1"/>
  <c r="H10"/>
  <c r="I10" l="1"/>
  <c r="J9"/>
  <c r="J10" l="1"/>
  <c r="K9"/>
  <c r="L9" l="1"/>
  <c r="K10"/>
  <c r="L10" l="1"/>
</calcChain>
</file>

<file path=xl/sharedStrings.xml><?xml version="1.0" encoding="utf-8"?>
<sst xmlns="http://schemas.openxmlformats.org/spreadsheetml/2006/main" count="37" uniqueCount="37">
  <si>
    <t>Ps-Pe</t>
  </si>
  <si>
    <t>rpm</t>
  </si>
  <si>
    <t>Pot. Efectiva</t>
  </si>
  <si>
    <t>Rendimiento</t>
  </si>
  <si>
    <t>Cosen φ</t>
  </si>
  <si>
    <t>Resbalam.</t>
  </si>
  <si>
    <r>
      <t>Temperatura ambiente inicial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</si>
  <si>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t>Temperatura del agua inicial (°C)</t>
  </si>
  <si>
    <t>Temperatura final del bob. principal (°C)</t>
  </si>
  <si>
    <t>Hora de inicio</t>
  </si>
  <si>
    <r>
      <t>Temperatura ambiente final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</si>
  <si>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t>Temperatura del agua final (°C)</t>
  </si>
  <si>
    <t xml:space="preserve">Temperatura final del bob. auxiliar  (°C) </t>
  </si>
  <si>
    <t xml:space="preserve">Hora de finalización </t>
  </si>
  <si>
    <t>U línea (V)</t>
  </si>
  <si>
    <t xml:space="preserve"> </t>
  </si>
  <si>
    <t>Caudal [l/h]</t>
  </si>
  <si>
    <t>Pot. Total [W]</t>
  </si>
  <si>
    <t>Motor</t>
  </si>
  <si>
    <t>Tension
[V]</t>
  </si>
  <si>
    <t>Paquete</t>
  </si>
  <si>
    <t>Turbina</t>
  </si>
  <si>
    <t>Ø
Turbina [mm]</t>
  </si>
  <si>
    <t>Caracol</t>
  </si>
  <si>
    <t>Comentarios</t>
  </si>
  <si>
    <t>Placa control</t>
  </si>
  <si>
    <t>Iman</t>
  </si>
  <si>
    <t>I display</t>
  </si>
  <si>
    <t>Rotor</t>
  </si>
  <si>
    <t>Estator</t>
  </si>
  <si>
    <t>AVEN</t>
  </si>
  <si>
    <t>SAJ PC20</t>
  </si>
  <si>
    <t>Hallbach</t>
  </si>
  <si>
    <t>DM33H</t>
  </si>
  <si>
    <t>Max</t>
  </si>
  <si>
    <t>EN FRIO</t>
  </si>
  <si>
    <t>It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</si>
</sst>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1"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5" tint="0.79998168889431442"/>
        <bgColor indexed="42"/>
      </patternFill>
    </fill>
    <fill>
      <patternFill patternType="solid">
        <fgColor theme="6" tint="0.79998168889431442"/>
        <bgColor indexed="31"/>
      </patternFill>
    </fill>
    <fill>
      <patternFill patternType="solid">
        <fgColor theme="5" tint="0.79998168889431442"/>
        <bgColor indexed="31"/>
      </patternFill>
    </fill>
    <fill>
      <patternFill patternType="solid">
        <fgColor theme="6" tint="0.79998168889431442"/>
        <bgColor indexed="22"/>
      </patternFill>
    </fill>
    <fill>
      <patternFill patternType="solid">
        <fgColor theme="6" tint="0.39997558519241921"/>
        <bgColor indexed="42"/>
      </patternFill>
    </fill>
    <fill>
      <patternFill patternType="solid">
        <fgColor theme="5" tint="0.39997558519241921"/>
        <bgColor indexed="42"/>
      </patternFill>
    </fill>
    <fill>
      <patternFill patternType="solid">
        <fgColor theme="5" tint="0.39997558519241921"/>
        <bgColor indexed="3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22"/>
      </patternFill>
    </fill>
  </fills>
  <borders count="49">
    <border>
      <left/>
      <right/>
      <top/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/>
      <top style="thin">
        <color indexed="8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30">
    <xf numFmtId="0" fontId="0" fillId="0" borderId="0" xfId="0"/>
    <xf numFmtId="0" fontId="6" fillId="0" borderId="0" xfId="2"/>
    <xf numFmtId="0" fontId="6" fillId="0" borderId="0" xfId="1"/>
    <xf numFmtId="2" fontId="6" fillId="0" borderId="0" xfId="2" applyNumberFormat="1"/>
    <xf numFmtId="0" fontId="0" fillId="0" borderId="0" xfId="2" applyFont="1"/>
    <xf numFmtId="22" fontId="0" fillId="0" borderId="0" xfId="0" applyNumberFormat="1"/>
    <xf numFmtId="21" fontId="0" fillId="0" borderId="0" xfId="0" applyNumberFormat="1"/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/>
    <xf numFmtId="0" fontId="7" fillId="0" borderId="0" xfId="2" applyFont="1"/>
    <xf numFmtId="166" fontId="6" fillId="0" borderId="0" xfId="2" applyNumberForma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0" fontId="6" fillId="0" borderId="0" xfId="2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2" fontId="6" fillId="0" borderId="0" xfId="2" applyNumberFormat="1" applyAlignment="1">
      <alignment horizontal="center" vertical="center"/>
    </xf>
    <xf numFmtId="0" fontId="5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20" fontId="6" fillId="0" borderId="0" xfId="2" applyNumberFormat="1"/>
    <xf numFmtId="1" fontId="6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0" fontId="1" fillId="4" borderId="5" xfId="2" applyFont="1" applyFill="1" applyBorder="1" applyAlignment="1">
      <alignment horizontal="center" vertical="center" wrapText="1"/>
    </xf>
    <xf numFmtId="2" fontId="3" fillId="7" borderId="10" xfId="1" applyNumberFormat="1" applyFont="1" applyFill="1" applyBorder="1" applyAlignment="1">
      <alignment horizontal="center"/>
    </xf>
    <xf numFmtId="2" fontId="3" fillId="7" borderId="9" xfId="1" applyNumberFormat="1" applyFont="1" applyFill="1" applyBorder="1" applyAlignment="1">
      <alignment horizontal="center"/>
    </xf>
    <xf numFmtId="2" fontId="3" fillId="7" borderId="12" xfId="1" applyNumberFormat="1" applyFont="1" applyFill="1" applyBorder="1" applyAlignment="1">
      <alignment horizontal="center"/>
    </xf>
    <xf numFmtId="20" fontId="0" fillId="8" borderId="2" xfId="2" applyNumberFormat="1" applyFont="1" applyFill="1" applyBorder="1" applyAlignment="1">
      <alignment horizontal="center" vertical="center"/>
    </xf>
    <xf numFmtId="20" fontId="0" fillId="8" borderId="3" xfId="2" applyNumberFormat="1" applyFont="1" applyFill="1" applyBorder="1" applyAlignment="1">
      <alignment horizontal="center" vertical="center"/>
    </xf>
    <xf numFmtId="164" fontId="3" fillId="6" borderId="3" xfId="2" applyNumberFormat="1" applyFont="1" applyFill="1" applyBorder="1" applyAlignment="1">
      <alignment horizontal="center" vertical="center"/>
    </xf>
    <xf numFmtId="164" fontId="6" fillId="8" borderId="2" xfId="2" applyNumberFormat="1" applyFill="1" applyBorder="1" applyAlignment="1">
      <alignment horizontal="center" vertical="center"/>
    </xf>
    <xf numFmtId="164" fontId="0" fillId="8" borderId="3" xfId="2" applyNumberFormat="1" applyFont="1" applyFill="1" applyBorder="1" applyAlignment="1">
      <alignment horizontal="center" vertical="center"/>
    </xf>
    <xf numFmtId="166" fontId="0" fillId="3" borderId="0" xfId="2" applyNumberFormat="1" applyFont="1" applyFill="1" applyAlignment="1">
      <alignment horizontal="center" vertical="center"/>
    </xf>
    <xf numFmtId="166" fontId="6" fillId="3" borderId="0" xfId="2" applyNumberFormat="1" applyFill="1" applyAlignment="1">
      <alignment horizontal="center" vertical="center"/>
    </xf>
    <xf numFmtId="0" fontId="6" fillId="3" borderId="0" xfId="2" applyFill="1"/>
    <xf numFmtId="0" fontId="1" fillId="4" borderId="4" xfId="2" applyFont="1" applyFill="1" applyBorder="1" applyAlignment="1">
      <alignment horizontal="center" vertical="center" wrapText="1"/>
    </xf>
    <xf numFmtId="165" fontId="3" fillId="11" borderId="10" xfId="1" applyNumberFormat="1" applyFont="1" applyFill="1" applyBorder="1" applyAlignment="1">
      <alignment horizontal="center"/>
    </xf>
    <xf numFmtId="165" fontId="3" fillId="11" borderId="9" xfId="1" applyNumberFormat="1" applyFont="1" applyFill="1" applyBorder="1" applyAlignment="1">
      <alignment horizontal="center"/>
    </xf>
    <xf numFmtId="165" fontId="3" fillId="11" borderId="12" xfId="1" applyNumberFormat="1" applyFont="1" applyFill="1" applyBorder="1" applyAlignment="1">
      <alignment horizontal="center"/>
    </xf>
    <xf numFmtId="0" fontId="10" fillId="12" borderId="13" xfId="0" applyNumberFormat="1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0" fillId="13" borderId="15" xfId="0" applyNumberFormat="1" applyFont="1" applyFill="1" applyBorder="1" applyAlignment="1">
      <alignment horizontal="center" vertical="center" wrapText="1"/>
    </xf>
    <xf numFmtId="0" fontId="0" fillId="13" borderId="15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49" fontId="0" fillId="13" borderId="15" xfId="0" applyNumberFormat="1" applyFill="1" applyBorder="1" applyAlignment="1">
      <alignment horizontal="center" vertical="center" wrapText="1"/>
    </xf>
    <xf numFmtId="2" fontId="3" fillId="2" borderId="16" xfId="2" applyNumberFormat="1" applyFont="1" applyFill="1" applyBorder="1" applyAlignment="1">
      <alignment horizontal="center"/>
    </xf>
    <xf numFmtId="2" fontId="3" fillId="2" borderId="17" xfId="2" applyNumberFormat="1" applyFont="1" applyFill="1" applyBorder="1" applyAlignment="1">
      <alignment horizontal="center"/>
    </xf>
    <xf numFmtId="2" fontId="3" fillId="2" borderId="19" xfId="2" applyNumberFormat="1" applyFont="1" applyFill="1" applyBorder="1" applyAlignment="1">
      <alignment horizontal="center"/>
    </xf>
    <xf numFmtId="0" fontId="3" fillId="2" borderId="16" xfId="2" applyNumberFormat="1" applyFont="1" applyFill="1" applyBorder="1" applyAlignment="1">
      <alignment horizontal="center"/>
    </xf>
    <xf numFmtId="164" fontId="3" fillId="9" borderId="18" xfId="2" applyNumberFormat="1" applyFont="1" applyFill="1" applyBorder="1" applyAlignment="1">
      <alignment horizontal="center"/>
    </xf>
    <xf numFmtId="2" fontId="3" fillId="9" borderId="18" xfId="2" applyNumberFormat="1" applyFont="1" applyFill="1" applyBorder="1" applyAlignment="1">
      <alignment horizontal="center"/>
    </xf>
    <xf numFmtId="0" fontId="3" fillId="2" borderId="18" xfId="2" applyNumberFormat="1" applyFont="1" applyFill="1" applyBorder="1" applyAlignment="1">
      <alignment horizontal="center"/>
    </xf>
    <xf numFmtId="2" fontId="3" fillId="2" borderId="18" xfId="2" applyNumberFormat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164" fontId="3" fillId="9" borderId="21" xfId="2" applyNumberFormat="1" applyFont="1" applyFill="1" applyBorder="1" applyAlignment="1">
      <alignment horizontal="center"/>
    </xf>
    <xf numFmtId="164" fontId="3" fillId="9" borderId="22" xfId="2" applyNumberFormat="1" applyFont="1" applyFill="1" applyBorder="1" applyAlignment="1">
      <alignment horizontal="center"/>
    </xf>
    <xf numFmtId="164" fontId="3" fillId="9" borderId="20" xfId="2" applyNumberFormat="1" applyFont="1" applyFill="1" applyBorder="1" applyAlignment="1">
      <alignment horizontal="center"/>
    </xf>
    <xf numFmtId="164" fontId="6" fillId="8" borderId="3" xfId="2" applyNumberFormat="1" applyFill="1" applyBorder="1" applyAlignment="1">
      <alignment horizontal="center" vertical="center"/>
    </xf>
    <xf numFmtId="0" fontId="3" fillId="9" borderId="21" xfId="2" applyNumberFormat="1" applyFont="1" applyFill="1" applyBorder="1" applyAlignment="1">
      <alignment horizontal="center"/>
    </xf>
    <xf numFmtId="0" fontId="3" fillId="9" borderId="22" xfId="2" applyNumberFormat="1" applyFont="1" applyFill="1" applyBorder="1" applyAlignment="1">
      <alignment horizontal="center"/>
    </xf>
    <xf numFmtId="0" fontId="3" fillId="9" borderId="20" xfId="2" applyNumberFormat="1" applyFont="1" applyFill="1" applyBorder="1" applyAlignment="1">
      <alignment horizontal="center"/>
    </xf>
    <xf numFmtId="0" fontId="0" fillId="3" borderId="0" xfId="0" applyFill="1"/>
    <xf numFmtId="164" fontId="6" fillId="14" borderId="0" xfId="2" applyNumberFormat="1" applyFill="1" applyBorder="1" applyAlignment="1">
      <alignment horizontal="center" vertical="center"/>
    </xf>
    <xf numFmtId="164" fontId="9" fillId="7" borderId="10" xfId="1" applyNumberFormat="1" applyFont="1" applyFill="1" applyBorder="1" applyAlignment="1">
      <alignment horizontal="center"/>
    </xf>
    <xf numFmtId="164" fontId="9" fillId="7" borderId="11" xfId="1" applyNumberFormat="1" applyFont="1" applyFill="1" applyBorder="1" applyAlignment="1">
      <alignment horizontal="center"/>
    </xf>
    <xf numFmtId="164" fontId="9" fillId="7" borderId="12" xfId="1" applyNumberFormat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29" xfId="1" applyFont="1" applyFill="1" applyBorder="1" applyAlignment="1">
      <alignment horizontal="center"/>
    </xf>
    <xf numFmtId="2" fontId="3" fillId="9" borderId="12" xfId="2" applyNumberFormat="1" applyFont="1" applyFill="1" applyBorder="1" applyAlignment="1">
      <alignment horizontal="center"/>
    </xf>
    <xf numFmtId="164" fontId="3" fillId="9" borderId="30" xfId="2" applyNumberFormat="1" applyFont="1" applyFill="1" applyBorder="1" applyAlignment="1">
      <alignment horizontal="center"/>
    </xf>
    <xf numFmtId="0" fontId="3" fillId="2" borderId="12" xfId="2" applyNumberFormat="1" applyFont="1" applyFill="1" applyBorder="1" applyAlignment="1">
      <alignment horizontal="center"/>
    </xf>
    <xf numFmtId="0" fontId="3" fillId="2" borderId="30" xfId="2" applyNumberFormat="1" applyFont="1" applyFill="1" applyBorder="1" applyAlignment="1">
      <alignment horizontal="center"/>
    </xf>
    <xf numFmtId="2" fontId="3" fillId="2" borderId="12" xfId="2" applyNumberFormat="1" applyFont="1" applyFill="1" applyBorder="1" applyAlignment="1">
      <alignment horizontal="center"/>
    </xf>
    <xf numFmtId="2" fontId="3" fillId="2" borderId="30" xfId="2" applyNumberFormat="1" applyFont="1" applyFill="1" applyBorder="1" applyAlignment="1">
      <alignment horizontal="center"/>
    </xf>
    <xf numFmtId="0" fontId="3" fillId="6" borderId="12" xfId="1" applyNumberFormat="1" applyFont="1" applyFill="1" applyBorder="1" applyAlignment="1">
      <alignment horizontal="center"/>
    </xf>
    <xf numFmtId="0" fontId="3" fillId="6" borderId="31" xfId="1" applyNumberFormat="1" applyFont="1" applyFill="1" applyBorder="1" applyAlignment="1">
      <alignment horizontal="center"/>
    </xf>
    <xf numFmtId="164" fontId="9" fillId="7" borderId="30" xfId="1" applyNumberFormat="1" applyFont="1" applyFill="1" applyBorder="1" applyAlignment="1">
      <alignment horizontal="center"/>
    </xf>
    <xf numFmtId="165" fontId="3" fillId="11" borderId="30" xfId="1" applyNumberFormat="1" applyFont="1" applyFill="1" applyBorder="1" applyAlignment="1">
      <alignment horizontal="center"/>
    </xf>
    <xf numFmtId="2" fontId="3" fillId="7" borderId="30" xfId="1" applyNumberFormat="1" applyFont="1" applyFill="1" applyBorder="1" applyAlignment="1">
      <alignment horizontal="center"/>
    </xf>
    <xf numFmtId="165" fontId="3" fillId="7" borderId="32" xfId="2" applyNumberFormat="1" applyFont="1" applyFill="1" applyBorder="1" applyAlignment="1">
      <alignment horizontal="center"/>
    </xf>
    <xf numFmtId="165" fontId="3" fillId="7" borderId="33" xfId="2" applyNumberFormat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/>
    </xf>
    <xf numFmtId="0" fontId="2" fillId="9" borderId="39" xfId="2" applyFont="1" applyFill="1" applyBorder="1" applyAlignment="1">
      <alignment horizontal="center" vertical="center"/>
    </xf>
    <xf numFmtId="2" fontId="3" fillId="9" borderId="41" xfId="2" applyNumberFormat="1" applyFont="1" applyFill="1" applyBorder="1" applyAlignment="1">
      <alignment horizontal="center"/>
    </xf>
    <xf numFmtId="0" fontId="3" fillId="2" borderId="41" xfId="2" applyNumberFormat="1" applyFont="1" applyFill="1" applyBorder="1" applyAlignment="1">
      <alignment horizontal="center"/>
    </xf>
    <xf numFmtId="2" fontId="2" fillId="2" borderId="39" xfId="2" applyNumberFormat="1" applyFont="1" applyFill="1" applyBorder="1" applyAlignment="1">
      <alignment horizontal="center" vertical="center"/>
    </xf>
    <xf numFmtId="2" fontId="3" fillId="2" borderId="41" xfId="2" applyNumberFormat="1" applyFont="1" applyFill="1" applyBorder="1" applyAlignment="1">
      <alignment horizontal="center"/>
    </xf>
    <xf numFmtId="0" fontId="3" fillId="6" borderId="16" xfId="1" applyNumberFormat="1" applyFont="1" applyFill="1" applyBorder="1" applyAlignment="1">
      <alignment horizontal="center"/>
    </xf>
    <xf numFmtId="2" fontId="8" fillId="5" borderId="39" xfId="2" applyNumberFormat="1" applyFont="1" applyFill="1" applyBorder="1" applyAlignment="1">
      <alignment horizontal="center" vertical="center"/>
    </xf>
    <xf numFmtId="164" fontId="9" fillId="7" borderId="16" xfId="1" applyNumberFormat="1" applyFont="1" applyFill="1" applyBorder="1" applyAlignment="1">
      <alignment horizontal="center"/>
    </xf>
    <xf numFmtId="164" fontId="9" fillId="7" borderId="19" xfId="1" applyNumberFormat="1" applyFont="1" applyFill="1" applyBorder="1" applyAlignment="1">
      <alignment horizontal="center"/>
    </xf>
    <xf numFmtId="164" fontId="9" fillId="7" borderId="17" xfId="1" applyNumberFormat="1" applyFont="1" applyFill="1" applyBorder="1" applyAlignment="1">
      <alignment horizontal="center"/>
    </xf>
    <xf numFmtId="164" fontId="9" fillId="7" borderId="31" xfId="1" applyNumberFormat="1" applyFont="1" applyFill="1" applyBorder="1" applyAlignment="1">
      <alignment horizontal="center"/>
    </xf>
    <xf numFmtId="0" fontId="2" fillId="10" borderId="39" xfId="2" applyFont="1" applyFill="1" applyBorder="1" applyAlignment="1">
      <alignment horizontal="center" vertical="center"/>
    </xf>
    <xf numFmtId="165" fontId="3" fillId="11" borderId="16" xfId="1" applyNumberFormat="1" applyFont="1" applyFill="1" applyBorder="1" applyAlignment="1">
      <alignment horizontal="center"/>
    </xf>
    <xf numFmtId="165" fontId="3" fillId="11" borderId="19" xfId="1" applyNumberFormat="1" applyFont="1" applyFill="1" applyBorder="1" applyAlignment="1">
      <alignment horizontal="center"/>
    </xf>
    <xf numFmtId="165" fontId="3" fillId="11" borderId="17" xfId="1" applyNumberFormat="1" applyFont="1" applyFill="1" applyBorder="1" applyAlignment="1">
      <alignment horizontal="center"/>
    </xf>
    <xf numFmtId="0" fontId="2" fillId="5" borderId="39" xfId="2" applyFont="1" applyFill="1" applyBorder="1" applyAlignment="1">
      <alignment horizontal="center" vertical="center"/>
    </xf>
    <xf numFmtId="164" fontId="3" fillId="7" borderId="16" xfId="1" applyNumberFormat="1" applyFont="1" applyFill="1" applyBorder="1" applyAlignment="1">
      <alignment horizontal="center"/>
    </xf>
    <xf numFmtId="164" fontId="3" fillId="7" borderId="19" xfId="1" applyNumberFormat="1" applyFont="1" applyFill="1" applyBorder="1" applyAlignment="1">
      <alignment horizontal="center"/>
    </xf>
    <xf numFmtId="164" fontId="3" fillId="7" borderId="17" xfId="1" applyNumberFormat="1" applyFont="1" applyFill="1" applyBorder="1" applyAlignment="1">
      <alignment horizontal="center"/>
    </xf>
    <xf numFmtId="2" fontId="3" fillId="7" borderId="16" xfId="1" applyNumberFormat="1" applyFont="1" applyFill="1" applyBorder="1" applyAlignment="1">
      <alignment horizontal="center"/>
    </xf>
    <xf numFmtId="2" fontId="3" fillId="7" borderId="19" xfId="1" applyNumberFormat="1" applyFont="1" applyFill="1" applyBorder="1" applyAlignment="1">
      <alignment horizontal="center"/>
    </xf>
    <xf numFmtId="0" fontId="2" fillId="5" borderId="42" xfId="2" applyFont="1" applyFill="1" applyBorder="1" applyAlignment="1">
      <alignment horizontal="center" vertical="center"/>
    </xf>
    <xf numFmtId="165" fontId="3" fillId="7" borderId="43" xfId="2" applyNumberFormat="1" applyFont="1" applyFill="1" applyBorder="1" applyAlignment="1">
      <alignment horizontal="center"/>
    </xf>
    <xf numFmtId="165" fontId="3" fillId="7" borderId="44" xfId="2" applyNumberFormat="1" applyFont="1" applyFill="1" applyBorder="1" applyAlignment="1">
      <alignment horizontal="center"/>
    </xf>
    <xf numFmtId="165" fontId="3" fillId="7" borderId="45" xfId="2" applyNumberFormat="1" applyFont="1" applyFill="1" applyBorder="1" applyAlignment="1">
      <alignment horizontal="center"/>
    </xf>
    <xf numFmtId="165" fontId="3" fillId="7" borderId="46" xfId="2" applyNumberFormat="1" applyFont="1" applyFill="1" applyBorder="1" applyAlignment="1">
      <alignment horizontal="center"/>
    </xf>
    <xf numFmtId="165" fontId="3" fillId="7" borderId="47" xfId="2" applyNumberFormat="1" applyFont="1" applyFill="1" applyBorder="1" applyAlignment="1">
      <alignment horizontal="center"/>
    </xf>
    <xf numFmtId="0" fontId="2" fillId="2" borderId="34" xfId="2" applyFont="1" applyFill="1" applyBorder="1" applyAlignment="1">
      <alignment horizontal="center" vertical="center"/>
    </xf>
    <xf numFmtId="0" fontId="0" fillId="13" borderId="48" xfId="0" applyFill="1" applyBorder="1" applyAlignment="1">
      <alignment horizontal="left" vertical="center" wrapTex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8" xfId="2" applyFont="1" applyFill="1" applyBorder="1" applyAlignment="1">
      <alignment horizontal="center" vertical="center" wrapText="1"/>
    </xf>
    <xf numFmtId="0" fontId="1" fillId="4" borderId="6" xfId="2" applyFont="1" applyFill="1" applyBorder="1" applyAlignment="1">
      <alignment horizontal="center" vertical="center" wrapText="1"/>
    </xf>
    <xf numFmtId="0" fontId="1" fillId="4" borderId="7" xfId="2" applyFont="1" applyFill="1" applyBorder="1" applyAlignment="1">
      <alignment horizontal="center" vertical="center" wrapText="1"/>
    </xf>
  </cellXfs>
  <cellStyles count="3">
    <cellStyle name="Excel Built-in Normal" xfId="1"/>
    <cellStyle name="Excel Built-in Normal 1" xfId="2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E6B9B8"/>
      <rgbColor rgb="004A7EBB"/>
      <rgbColor rgb="0033CCCC"/>
      <rgbColor rgb="0092D050"/>
      <rgbColor rgb="00FFCC00"/>
      <rgbColor rgb="00FF9900"/>
      <rgbColor rgb="00FF6600"/>
      <rgbColor rgb="00606060"/>
      <rgbColor rgb="00B7B7B7"/>
      <rgbColor rgb="00003366"/>
      <rgbColor rgb="004F81BD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104775</xdr:colOff>
      <xdr:row>17</xdr:row>
      <xdr:rowOff>161924</xdr:rowOff>
    </xdr:from>
    <xdr:to>
      <xdr:col>14</xdr:col>
      <xdr:colOff>304800</xdr:colOff>
      <xdr:row>38</xdr:row>
      <xdr:rowOff>9524</xdr:rowOff>
    </xdr:to>
    <xdr:sp macro="" textlink="">
      <xdr:nvSpPr>
        <xdr:cNvPr id="2049" name="AutoShape 1" descr="blob:https://web.whatsapp.com/65d7ebf9-1c32-4332-ab49-50ffc1846f89"/>
        <xdr:cNvSpPr>
          <a:spLocks noChangeAspect="1" noChangeArrowheads="1"/>
        </xdr:cNvSpPr>
      </xdr:nvSpPr>
      <xdr:spPr bwMode="auto">
        <a:xfrm>
          <a:off x="7724775" y="2914649"/>
          <a:ext cx="3248025" cy="324802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showGridLines="0" workbookViewId="0">
      <selection activeCell="B2" sqref="B2"/>
    </sheetView>
  </sheetViews>
  <sheetFormatPr baseColWidth="10" defaultRowHeight="12.75"/>
  <cols>
    <col min="3" max="3" width="8.42578125" bestFit="1" customWidth="1"/>
    <col min="4" max="4" width="15.42578125" bestFit="1" customWidth="1"/>
    <col min="6" max="6" width="11.28515625" customWidth="1"/>
    <col min="8" max="8" width="17.28515625" customWidth="1"/>
    <col min="9" max="9" width="7.140625" bestFit="1" customWidth="1"/>
    <col min="10" max="10" width="17" customWidth="1"/>
    <col min="11" max="11" width="85.7109375" bestFit="1" customWidth="1"/>
  </cols>
  <sheetData>
    <row r="1" spans="1:11" ht="45">
      <c r="A1" s="45" t="s">
        <v>18</v>
      </c>
      <c r="B1" s="46" t="s">
        <v>19</v>
      </c>
      <c r="C1" s="46" t="s">
        <v>20</v>
      </c>
      <c r="D1" s="46" t="s">
        <v>25</v>
      </c>
      <c r="E1" s="46" t="s">
        <v>21</v>
      </c>
      <c r="F1" s="46" t="s">
        <v>22</v>
      </c>
      <c r="G1" s="46" t="s">
        <v>23</v>
      </c>
      <c r="H1" s="46" t="s">
        <v>28</v>
      </c>
      <c r="I1" s="46" t="s">
        <v>29</v>
      </c>
      <c r="J1" s="46" t="s">
        <v>26</v>
      </c>
      <c r="K1" s="46" t="s">
        <v>24</v>
      </c>
    </row>
    <row r="2" spans="1:11">
      <c r="A2" s="47">
        <v>100</v>
      </c>
      <c r="B2" s="48"/>
      <c r="C2" s="48">
        <v>70</v>
      </c>
      <c r="D2" s="50" t="s">
        <v>31</v>
      </c>
      <c r="E2" s="50"/>
      <c r="F2" s="50"/>
      <c r="G2" s="49" t="s">
        <v>34</v>
      </c>
      <c r="H2" s="49" t="s">
        <v>32</v>
      </c>
      <c r="I2" s="49" t="s">
        <v>30</v>
      </c>
      <c r="J2" s="49" t="s">
        <v>33</v>
      </c>
      <c r="K2" s="1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W78"/>
  <sheetViews>
    <sheetView showGridLines="0" tabSelected="1" zoomScaleNormal="100" workbookViewId="0">
      <selection activeCell="A7" sqref="A7"/>
    </sheetView>
  </sheetViews>
  <sheetFormatPr baseColWidth="10" defaultColWidth="10.7109375" defaultRowHeight="12.75"/>
  <cols>
    <col min="1" max="1" width="17.42578125" style="1" customWidth="1"/>
    <col min="2" max="2" width="8" style="1" customWidth="1"/>
    <col min="3" max="3" width="7.5703125" style="1" customWidth="1"/>
    <col min="4" max="5" width="7.85546875" style="1" bestFit="1" customWidth="1"/>
    <col min="6" max="6" width="7.85546875" style="1" customWidth="1"/>
    <col min="7" max="7" width="7.42578125" style="1" customWidth="1"/>
    <col min="8" max="8" width="7.5703125" style="1" customWidth="1"/>
    <col min="9" max="9" width="7.28515625" style="1" customWidth="1"/>
    <col min="10" max="10" width="7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10.7109375" style="1" bestFit="1" customWidth="1"/>
    <col min="15" max="15" width="7.140625" style="1" customWidth="1"/>
    <col min="16" max="16" width="7.42578125" style="1" customWidth="1"/>
    <col min="17" max="19" width="8.140625" style="1" customWidth="1"/>
    <col min="20" max="21" width="7.42578125" style="1" bestFit="1" customWidth="1"/>
    <col min="22" max="22" width="8.85546875" style="1" bestFit="1" customWidth="1"/>
    <col min="23" max="23" width="7.42578125" style="1" bestFit="1" customWidth="1"/>
    <col min="24" max="25" width="8" style="1" customWidth="1"/>
    <col min="26" max="26" width="8.140625" style="1" customWidth="1"/>
    <col min="27" max="27" width="10" style="1" customWidth="1"/>
    <col min="28" max="34" width="10.7109375" style="1"/>
    <col min="35" max="35" width="12.5703125" style="1" customWidth="1"/>
    <col min="36" max="257" width="10.7109375" style="1"/>
    <col min="258" max="16384" width="10.7109375" style="2"/>
  </cols>
  <sheetData>
    <row r="1" spans="1:46" ht="13.5" thickBot="1">
      <c r="A1" s="4"/>
      <c r="Y1" s="4" t="s">
        <v>35</v>
      </c>
    </row>
    <row r="2" spans="1:46" s="1" customFormat="1" ht="13.5" thickBot="1">
      <c r="A2" s="124" t="s">
        <v>14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3"/>
      <c r="Q2" s="60"/>
      <c r="R2" s="60"/>
      <c r="S2" s="60"/>
      <c r="T2" s="60"/>
      <c r="U2" s="60"/>
      <c r="V2" s="60"/>
      <c r="W2" s="60"/>
      <c r="X2" s="94"/>
      <c r="Y2" s="74"/>
      <c r="Z2" s="75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1" customFormat="1" ht="13.5" thickBot="1">
      <c r="A3" s="95" t="s">
        <v>16</v>
      </c>
      <c r="B3" s="61"/>
      <c r="C3" s="59"/>
      <c r="D3" s="61"/>
      <c r="E3" s="59"/>
      <c r="F3" s="61"/>
      <c r="G3" s="59"/>
      <c r="H3" s="61"/>
      <c r="I3" s="59"/>
      <c r="J3" s="61"/>
      <c r="K3" s="59"/>
      <c r="L3" s="61"/>
      <c r="M3" s="59"/>
      <c r="N3" s="61"/>
      <c r="O3" s="59"/>
      <c r="P3" s="59"/>
      <c r="Q3" s="59"/>
      <c r="R3" s="59"/>
      <c r="S3" s="59"/>
      <c r="T3" s="59"/>
      <c r="U3" s="59"/>
      <c r="V3" s="59"/>
      <c r="W3" s="59"/>
      <c r="X3" s="96"/>
      <c r="Y3" s="76">
        <v>0</v>
      </c>
      <c r="Z3" s="77">
        <v>0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6" s="1" customFormat="1" ht="13.5" thickBot="1">
      <c r="A4" s="97" t="s">
        <v>0</v>
      </c>
      <c r="B4" s="62"/>
      <c r="C4" s="63"/>
      <c r="D4" s="64"/>
      <c r="E4" s="64"/>
      <c r="F4" s="64"/>
      <c r="G4" s="64"/>
      <c r="H4" s="64"/>
      <c r="I4" s="64"/>
      <c r="J4" s="62"/>
      <c r="K4" s="62"/>
      <c r="L4" s="64"/>
      <c r="M4" s="64"/>
      <c r="N4" s="64"/>
      <c r="O4" s="55"/>
      <c r="P4" s="55"/>
      <c r="Q4" s="55"/>
      <c r="R4" s="55"/>
      <c r="S4" s="55"/>
      <c r="T4" s="55"/>
      <c r="U4" s="55"/>
      <c r="V4" s="56"/>
      <c r="W4" s="56"/>
      <c r="X4" s="98"/>
      <c r="Y4" s="78"/>
      <c r="Z4" s="79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" customFormat="1" ht="13.5" thickBot="1">
      <c r="A5" s="95" t="s">
        <v>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7"/>
      <c r="P5" s="57"/>
      <c r="Q5" s="57"/>
      <c r="R5" s="57"/>
      <c r="S5" s="57"/>
      <c r="T5" s="57"/>
      <c r="U5" s="57"/>
      <c r="V5" s="57"/>
      <c r="W5" s="57"/>
      <c r="X5" s="99"/>
      <c r="Y5" s="80"/>
      <c r="Z5" s="81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1:46" s="3" customFormat="1" ht="13.5" thickBot="1">
      <c r="A6" s="100" t="s">
        <v>36</v>
      </c>
      <c r="B6" s="51"/>
      <c r="C6" s="52"/>
      <c r="D6" s="52"/>
      <c r="E6" s="52"/>
      <c r="F6" s="52"/>
      <c r="G6" s="52"/>
      <c r="H6" s="52"/>
      <c r="I6" s="51"/>
      <c r="J6" s="51"/>
      <c r="K6" s="52"/>
      <c r="L6" s="52"/>
      <c r="M6" s="52"/>
      <c r="N6" s="51"/>
      <c r="O6" s="58"/>
      <c r="P6" s="58"/>
      <c r="Q6" s="58"/>
      <c r="R6" s="58"/>
      <c r="S6" s="58"/>
      <c r="T6" s="58"/>
      <c r="U6" s="58"/>
      <c r="V6" s="58"/>
      <c r="W6" s="58"/>
      <c r="X6" s="101"/>
      <c r="Y6" s="82"/>
      <c r="Z6" s="83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 spans="1:46" s="3" customFormat="1" ht="13.5" thickBot="1">
      <c r="A7" s="100" t="s">
        <v>27</v>
      </c>
      <c r="B7" s="51"/>
      <c r="C7" s="52"/>
      <c r="D7" s="52"/>
      <c r="E7" s="52"/>
      <c r="F7" s="53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101"/>
      <c r="Y7" s="82"/>
      <c r="Z7" s="83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 spans="1:46" s="40" customFormat="1" ht="13.5" thickBot="1">
      <c r="A8" s="97" t="s">
        <v>17</v>
      </c>
      <c r="B8" s="66"/>
      <c r="C8" s="67"/>
      <c r="D8" s="68"/>
      <c r="E8" s="68"/>
      <c r="F8" s="68"/>
      <c r="G8" s="68"/>
      <c r="H8" s="68"/>
      <c r="I8" s="68"/>
      <c r="J8" s="66"/>
      <c r="K8" s="66"/>
      <c r="L8" s="68"/>
      <c r="M8" s="68"/>
      <c r="N8" s="68"/>
      <c r="O8" s="102"/>
      <c r="P8" s="102"/>
      <c r="Q8" s="102"/>
      <c r="R8" s="102"/>
      <c r="S8" s="102"/>
      <c r="T8" s="102"/>
      <c r="U8" s="102"/>
      <c r="V8" s="102"/>
      <c r="W8" s="102"/>
      <c r="X8" s="85"/>
      <c r="Y8" s="84"/>
      <c r="Z8" s="85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</row>
    <row r="9" spans="1:46" s="3" customFormat="1" ht="13.5" thickBot="1">
      <c r="A9" s="103" t="s">
        <v>2</v>
      </c>
      <c r="B9" s="104">
        <f>(B3*B4*0.002725)</f>
        <v>0</v>
      </c>
      <c r="C9" s="105">
        <f>(C3*C4*0.002725)</f>
        <v>0</v>
      </c>
      <c r="D9" s="106">
        <f t="shared" ref="D9:Q9" si="0">(D3*D4*0.002725)</f>
        <v>0</v>
      </c>
      <c r="E9" s="106">
        <f t="shared" si="0"/>
        <v>0</v>
      </c>
      <c r="F9" s="106">
        <f t="shared" si="0"/>
        <v>0</v>
      </c>
      <c r="G9" s="106">
        <f t="shared" si="0"/>
        <v>0</v>
      </c>
      <c r="H9" s="106">
        <f t="shared" si="0"/>
        <v>0</v>
      </c>
      <c r="I9" s="106">
        <f t="shared" si="0"/>
        <v>0</v>
      </c>
      <c r="J9" s="104">
        <f t="shared" si="0"/>
        <v>0</v>
      </c>
      <c r="K9" s="104">
        <f t="shared" si="0"/>
        <v>0</v>
      </c>
      <c r="L9" s="106">
        <f t="shared" si="0"/>
        <v>0</v>
      </c>
      <c r="M9" s="106">
        <f t="shared" si="0"/>
        <v>0</v>
      </c>
      <c r="N9" s="106">
        <f t="shared" si="0"/>
        <v>0</v>
      </c>
      <c r="O9" s="106">
        <f t="shared" si="0"/>
        <v>0</v>
      </c>
      <c r="P9" s="105">
        <f t="shared" si="0"/>
        <v>0</v>
      </c>
      <c r="Q9" s="71">
        <f t="shared" si="0"/>
        <v>0</v>
      </c>
      <c r="R9" s="71">
        <f t="shared" ref="R9:X9" si="1">(R3*R4*0.002725)</f>
        <v>0</v>
      </c>
      <c r="S9" s="71">
        <f t="shared" si="1"/>
        <v>0</v>
      </c>
      <c r="T9" s="71">
        <f t="shared" si="1"/>
        <v>0</v>
      </c>
      <c r="U9" s="71">
        <f t="shared" si="1"/>
        <v>0</v>
      </c>
      <c r="V9" s="71">
        <f t="shared" si="1"/>
        <v>0</v>
      </c>
      <c r="W9" s="72">
        <f t="shared" si="1"/>
        <v>0</v>
      </c>
      <c r="X9" s="107">
        <f t="shared" si="1"/>
        <v>0</v>
      </c>
      <c r="Y9" s="73">
        <f t="shared" ref="Y9:Z9" si="2">(Y3*Y4*0.002725)</f>
        <v>0</v>
      </c>
      <c r="Z9" s="86">
        <f t="shared" si="2"/>
        <v>0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1:46" s="1" customFormat="1" ht="13.5" thickBot="1">
      <c r="A10" s="108" t="s">
        <v>3</v>
      </c>
      <c r="B10" s="109" t="e">
        <f t="shared" ref="B10:Z10" si="3">(B9/B8)</f>
        <v>#DIV/0!</v>
      </c>
      <c r="C10" s="110" t="e">
        <f t="shared" si="3"/>
        <v>#DIV/0!</v>
      </c>
      <c r="D10" s="111" t="e">
        <f t="shared" si="3"/>
        <v>#DIV/0!</v>
      </c>
      <c r="E10" s="111" t="e">
        <f t="shared" si="3"/>
        <v>#DIV/0!</v>
      </c>
      <c r="F10" s="111" t="e">
        <f t="shared" si="3"/>
        <v>#DIV/0!</v>
      </c>
      <c r="G10" s="111" t="e">
        <f t="shared" si="3"/>
        <v>#DIV/0!</v>
      </c>
      <c r="H10" s="111" t="e">
        <f t="shared" si="3"/>
        <v>#DIV/0!</v>
      </c>
      <c r="I10" s="111" t="e">
        <f t="shared" si="3"/>
        <v>#DIV/0!</v>
      </c>
      <c r="J10" s="109" t="e">
        <f t="shared" si="3"/>
        <v>#DIV/0!</v>
      </c>
      <c r="K10" s="109" t="e">
        <f t="shared" si="3"/>
        <v>#DIV/0!</v>
      </c>
      <c r="L10" s="111" t="e">
        <f t="shared" si="3"/>
        <v>#DIV/0!</v>
      </c>
      <c r="M10" s="111" t="e">
        <f t="shared" si="3"/>
        <v>#DIV/0!</v>
      </c>
      <c r="N10" s="111" t="e">
        <f t="shared" si="3"/>
        <v>#DIV/0!</v>
      </c>
      <c r="O10" s="111" t="e">
        <f t="shared" si="3"/>
        <v>#DIV/0!</v>
      </c>
      <c r="P10" s="110" t="e">
        <f t="shared" si="3"/>
        <v>#DIV/0!</v>
      </c>
      <c r="Q10" s="42" t="e">
        <f t="shared" si="3"/>
        <v>#DIV/0!</v>
      </c>
      <c r="R10" s="42" t="e">
        <f t="shared" si="3"/>
        <v>#DIV/0!</v>
      </c>
      <c r="S10" s="42" t="e">
        <f t="shared" si="3"/>
        <v>#DIV/0!</v>
      </c>
      <c r="T10" s="42" t="e">
        <f t="shared" si="3"/>
        <v>#DIV/0!</v>
      </c>
      <c r="U10" s="42" t="e">
        <f t="shared" si="3"/>
        <v>#DIV/0!</v>
      </c>
      <c r="V10" s="42" t="e">
        <f t="shared" si="3"/>
        <v>#DIV/0!</v>
      </c>
      <c r="W10" s="42" t="e">
        <f t="shared" si="3"/>
        <v>#DIV/0!</v>
      </c>
      <c r="X10" s="43" t="e">
        <f t="shared" si="3"/>
        <v>#DIV/0!</v>
      </c>
      <c r="Y10" s="44" t="e">
        <f t="shared" si="3"/>
        <v>#DIV/0!</v>
      </c>
      <c r="Z10" s="87" t="e">
        <f t="shared" si="3"/>
        <v>#DIV/0!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1:46" s="1" customFormat="1" ht="13.5" thickBot="1">
      <c r="A11" s="112" t="s">
        <v>4</v>
      </c>
      <c r="B11" s="113" t="e">
        <f t="shared" ref="B11:Z11" si="4">B8/(220*B6)</f>
        <v>#DIV/0!</v>
      </c>
      <c r="C11" s="114" t="e">
        <f t="shared" si="4"/>
        <v>#DIV/0!</v>
      </c>
      <c r="D11" s="115" t="e">
        <f t="shared" si="4"/>
        <v>#DIV/0!</v>
      </c>
      <c r="E11" s="115" t="e">
        <f t="shared" si="4"/>
        <v>#DIV/0!</v>
      </c>
      <c r="F11" s="115" t="e">
        <f t="shared" si="4"/>
        <v>#DIV/0!</v>
      </c>
      <c r="G11" s="115" t="e">
        <f t="shared" si="4"/>
        <v>#DIV/0!</v>
      </c>
      <c r="H11" s="115" t="e">
        <f t="shared" si="4"/>
        <v>#DIV/0!</v>
      </c>
      <c r="I11" s="115" t="e">
        <f t="shared" si="4"/>
        <v>#DIV/0!</v>
      </c>
      <c r="J11" s="113" t="e">
        <f t="shared" si="4"/>
        <v>#DIV/0!</v>
      </c>
      <c r="K11" s="113" t="e">
        <f t="shared" si="4"/>
        <v>#DIV/0!</v>
      </c>
      <c r="L11" s="115" t="e">
        <f t="shared" si="4"/>
        <v>#DIV/0!</v>
      </c>
      <c r="M11" s="115" t="e">
        <f t="shared" si="4"/>
        <v>#DIV/0!</v>
      </c>
      <c r="N11" s="115" t="e">
        <f t="shared" si="4"/>
        <v>#DIV/0!</v>
      </c>
      <c r="O11" s="116" t="e">
        <f t="shared" si="4"/>
        <v>#DIV/0!</v>
      </c>
      <c r="P11" s="117" t="e">
        <f t="shared" si="4"/>
        <v>#DIV/0!</v>
      </c>
      <c r="Q11" s="30" t="e">
        <f t="shared" si="4"/>
        <v>#DIV/0!</v>
      </c>
      <c r="R11" s="30" t="e">
        <f t="shared" si="4"/>
        <v>#DIV/0!</v>
      </c>
      <c r="S11" s="30" t="e">
        <f t="shared" si="4"/>
        <v>#DIV/0!</v>
      </c>
      <c r="T11" s="30" t="e">
        <f t="shared" si="4"/>
        <v>#DIV/0!</v>
      </c>
      <c r="U11" s="30" t="e">
        <f t="shared" si="4"/>
        <v>#DIV/0!</v>
      </c>
      <c r="V11" s="30" t="e">
        <f t="shared" si="4"/>
        <v>#DIV/0!</v>
      </c>
      <c r="W11" s="30" t="e">
        <f t="shared" si="4"/>
        <v>#DIV/0!</v>
      </c>
      <c r="X11" s="31" t="e">
        <f t="shared" si="4"/>
        <v>#DIV/0!</v>
      </c>
      <c r="Y11" s="32" t="e">
        <f t="shared" si="4"/>
        <v>#DIV/0!</v>
      </c>
      <c r="Z11" s="88" t="e">
        <f t="shared" si="4"/>
        <v>#DIV/0!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1" customFormat="1" ht="13.5" thickBot="1">
      <c r="A12" s="118" t="s">
        <v>5</v>
      </c>
      <c r="B12" s="119">
        <f>((3000-B5)/3000)</f>
        <v>1</v>
      </c>
      <c r="C12" s="120">
        <f t="shared" ref="C12:Z12" si="5">((3000-C5)/3000)</f>
        <v>1</v>
      </c>
      <c r="D12" s="121">
        <f t="shared" si="5"/>
        <v>1</v>
      </c>
      <c r="E12" s="121">
        <f t="shared" si="5"/>
        <v>1</v>
      </c>
      <c r="F12" s="121">
        <f t="shared" si="5"/>
        <v>1</v>
      </c>
      <c r="G12" s="121">
        <f t="shared" si="5"/>
        <v>1</v>
      </c>
      <c r="H12" s="121">
        <f t="shared" si="5"/>
        <v>1</v>
      </c>
      <c r="I12" s="121">
        <f t="shared" si="5"/>
        <v>1</v>
      </c>
      <c r="J12" s="119">
        <f t="shared" si="5"/>
        <v>1</v>
      </c>
      <c r="K12" s="119">
        <f t="shared" si="5"/>
        <v>1</v>
      </c>
      <c r="L12" s="121">
        <f t="shared" si="5"/>
        <v>1</v>
      </c>
      <c r="M12" s="121">
        <f t="shared" si="5"/>
        <v>1</v>
      </c>
      <c r="N12" s="121">
        <f>((3000-N5)/3000)</f>
        <v>1</v>
      </c>
      <c r="O12" s="121">
        <f t="shared" si="5"/>
        <v>1</v>
      </c>
      <c r="P12" s="120">
        <f t="shared" si="5"/>
        <v>1</v>
      </c>
      <c r="Q12" s="122">
        <f t="shared" si="5"/>
        <v>1</v>
      </c>
      <c r="R12" s="122">
        <f t="shared" ref="R12:W12" si="6">((3000-R5)/3000)</f>
        <v>1</v>
      </c>
      <c r="S12" s="122">
        <f t="shared" si="6"/>
        <v>1</v>
      </c>
      <c r="T12" s="122">
        <f t="shared" si="6"/>
        <v>1</v>
      </c>
      <c r="U12" s="122">
        <f t="shared" si="6"/>
        <v>1</v>
      </c>
      <c r="V12" s="122">
        <f t="shared" si="6"/>
        <v>1</v>
      </c>
      <c r="W12" s="122">
        <f t="shared" si="6"/>
        <v>1</v>
      </c>
      <c r="X12" s="123">
        <f t="shared" si="5"/>
        <v>1</v>
      </c>
      <c r="Y12" s="89">
        <f t="shared" si="5"/>
        <v>1</v>
      </c>
      <c r="Z12" s="90">
        <f t="shared" si="5"/>
        <v>1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>
      <c r="A13" s="8"/>
      <c r="B13" s="27"/>
      <c r="C13" s="27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8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46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6">
      <c r="A15" s="9"/>
      <c r="B15" s="7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7"/>
      <c r="S15" s="13"/>
      <c r="T15" s="13"/>
      <c r="U15" s="13"/>
      <c r="V15" s="13"/>
      <c r="W15" s="13"/>
      <c r="X15" s="13"/>
      <c r="Y15" s="13"/>
      <c r="Z15" s="13"/>
      <c r="AA15" s="38"/>
      <c r="AB15" s="38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6">
      <c r="A16" s="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9"/>
      <c r="AB16" s="3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257" ht="15.75" thickBot="1">
      <c r="A17" s="10"/>
      <c r="V17" s="40"/>
      <c r="X17" s="40"/>
      <c r="Y17" s="40"/>
      <c r="AA17" s="40"/>
      <c r="AB17" s="40"/>
    </row>
    <row r="18" spans="1:257" ht="24" thickTop="1" thickBot="1">
      <c r="A18" s="41" t="s">
        <v>6</v>
      </c>
      <c r="B18" s="36"/>
      <c r="C18" s="126" t="s">
        <v>7</v>
      </c>
      <c r="D18" s="127"/>
      <c r="E18" s="36"/>
      <c r="F18" s="128" t="s">
        <v>8</v>
      </c>
      <c r="G18" s="129"/>
      <c r="H18" s="35" t="e">
        <f>((#REF!/#REF!)-1)/0.004+B18</f>
        <v>#REF!</v>
      </c>
      <c r="I18" s="128" t="s">
        <v>9</v>
      </c>
      <c r="J18" s="129"/>
      <c r="K18" s="33"/>
      <c r="L18"/>
      <c r="M18"/>
      <c r="N18"/>
      <c r="U18" s="70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2"/>
      <c r="IV18" s="2"/>
      <c r="IW18" s="2"/>
    </row>
    <row r="19" spans="1:257" ht="24" thickTop="1" thickBot="1">
      <c r="A19" s="29" t="s">
        <v>10</v>
      </c>
      <c r="B19" s="65"/>
      <c r="C19" s="126" t="s">
        <v>11</v>
      </c>
      <c r="D19" s="127"/>
      <c r="E19" s="37"/>
      <c r="F19" s="126" t="s">
        <v>12</v>
      </c>
      <c r="G19" s="127"/>
      <c r="H19" s="35" t="e">
        <f>((#REF!/#REF!)-1)/0.004+B18</f>
        <v>#REF!</v>
      </c>
      <c r="I19" s="126" t="s">
        <v>13</v>
      </c>
      <c r="J19" s="127"/>
      <c r="K19" s="34"/>
      <c r="L19"/>
      <c r="M19"/>
      <c r="N19"/>
      <c r="T19" s="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2"/>
      <c r="IV19" s="2"/>
      <c r="IW19" s="2"/>
    </row>
    <row r="20" spans="1:257" ht="13.5" thickTop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T20" s="4" t="s">
        <v>15</v>
      </c>
      <c r="V20" s="40"/>
      <c r="X20" s="40"/>
      <c r="Y20" s="40"/>
      <c r="AA20" s="40"/>
      <c r="AB20" s="40"/>
    </row>
    <row r="21" spans="1:257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X21" s="40"/>
      <c r="Y21" s="40"/>
    </row>
    <row r="22" spans="1:257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257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257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257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257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257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257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257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257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257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257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 s="15"/>
    </row>
    <row r="49" spans="1:2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s="15"/>
    </row>
    <row r="50" spans="1:2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 s="15"/>
    </row>
    <row r="51" spans="1:2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s="18"/>
      <c r="P51" s="8"/>
      <c r="Q51" s="8"/>
      <c r="R51" s="8"/>
      <c r="S51" s="8"/>
      <c r="T51" s="8"/>
      <c r="U51" s="15"/>
      <c r="V51" s="15"/>
      <c r="W51" s="15"/>
    </row>
    <row r="52" spans="1:2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 s="16"/>
      <c r="P52" s="16"/>
      <c r="Q52" s="16"/>
      <c r="R52" s="16"/>
      <c r="S52" s="16"/>
      <c r="T52" s="19"/>
      <c r="U52" s="15"/>
      <c r="V52" s="15"/>
      <c r="W52" s="15"/>
    </row>
    <row r="53" spans="1:2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s="15"/>
      <c r="P53" s="15"/>
      <c r="Q53" s="15"/>
      <c r="R53" s="15"/>
      <c r="S53" s="15"/>
      <c r="T53" s="8"/>
      <c r="U53" s="15"/>
      <c r="V53" s="15"/>
      <c r="W53" s="15"/>
    </row>
    <row r="54" spans="1:2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 s="14"/>
      <c r="P54" s="14"/>
      <c r="Q54" s="14"/>
      <c r="R54" s="14"/>
      <c r="S54" s="14"/>
      <c r="T54" s="19"/>
      <c r="U54" s="15"/>
      <c r="V54" s="15"/>
      <c r="W54" s="15"/>
    </row>
    <row r="55" spans="1:2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17"/>
      <c r="P55" s="17"/>
      <c r="Q55" s="17"/>
      <c r="R55" s="17"/>
      <c r="S55" s="17"/>
      <c r="T55" s="20"/>
      <c r="U55" s="18"/>
      <c r="V55" s="15"/>
      <c r="W55" s="15"/>
    </row>
    <row r="56" spans="1:2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 s="15"/>
      <c r="P56" s="16"/>
      <c r="Q56" s="16"/>
      <c r="R56" s="16"/>
      <c r="S56" s="16"/>
      <c r="T56" s="19"/>
      <c r="U56" s="15"/>
      <c r="V56" s="15"/>
      <c r="W56" s="15"/>
    </row>
    <row r="57" spans="1:23">
      <c r="A57" s="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  <c r="T57" s="19"/>
      <c r="U57" s="15"/>
      <c r="V57" s="15"/>
      <c r="W57" s="15"/>
    </row>
    <row r="58" spans="1:23">
      <c r="A58" s="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4"/>
      <c r="O58" s="15"/>
      <c r="P58" s="11"/>
      <c r="Q58" s="11"/>
      <c r="R58" s="11"/>
      <c r="S58" s="11"/>
      <c r="T58" s="21"/>
      <c r="U58" s="15"/>
      <c r="V58" s="15"/>
      <c r="W58" s="15"/>
    </row>
    <row r="59" spans="1:23">
      <c r="A59" s="8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14"/>
      <c r="O59" s="18"/>
      <c r="P59" s="15"/>
      <c r="Q59" s="15"/>
      <c r="R59" s="15"/>
      <c r="S59" s="15"/>
      <c r="T59" s="15"/>
      <c r="U59" s="15"/>
      <c r="V59" s="15"/>
      <c r="W59" s="15"/>
    </row>
    <row r="60" spans="1:23">
      <c r="A60" s="8"/>
      <c r="B60" s="2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17"/>
      <c r="O60" s="16"/>
    </row>
    <row r="61" spans="1:23">
      <c r="A61" s="8"/>
      <c r="B61" s="2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6"/>
      <c r="N61" s="17"/>
      <c r="O61" s="15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3">
      <c r="A63" s="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9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5"/>
      <c r="P64" s="15"/>
      <c r="Q64" s="15"/>
      <c r="R64" s="15"/>
      <c r="S64" s="15"/>
      <c r="T64" s="8"/>
    </row>
    <row r="65" spans="1:21">
      <c r="A65" s="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5"/>
      <c r="P65" s="14"/>
      <c r="Q65" s="14"/>
      <c r="R65" s="14"/>
      <c r="S65" s="14"/>
      <c r="T65" s="19"/>
    </row>
    <row r="66" spans="1:21">
      <c r="A66" s="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4"/>
      <c r="O66" s="15"/>
      <c r="P66" s="17"/>
      <c r="Q66" s="17"/>
      <c r="R66" s="17"/>
      <c r="S66" s="17"/>
      <c r="T66" s="20"/>
      <c r="U66" s="18"/>
    </row>
    <row r="67" spans="1:21">
      <c r="A67" s="8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14"/>
      <c r="O67" s="18"/>
      <c r="P67" s="16"/>
      <c r="Q67" s="16"/>
      <c r="R67" s="16"/>
      <c r="S67" s="16"/>
      <c r="T67" s="19"/>
    </row>
    <row r="68" spans="1:21">
      <c r="A68" s="8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11"/>
      <c r="O68" s="16"/>
      <c r="P68" s="15"/>
      <c r="Q68" s="15"/>
      <c r="R68" s="15"/>
      <c r="S68" s="15"/>
      <c r="T68" s="19"/>
    </row>
    <row r="69" spans="1:21">
      <c r="A69" s="8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11"/>
      <c r="O69" s="15"/>
      <c r="P69" s="11"/>
      <c r="Q69" s="11"/>
      <c r="R69" s="11"/>
      <c r="S69" s="11"/>
      <c r="T69" s="21"/>
    </row>
    <row r="73" spans="1:2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5"/>
    </row>
    <row r="74" spans="1:21">
      <c r="A74" s="8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5"/>
    </row>
    <row r="75" spans="1:21">
      <c r="A75" s="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4"/>
      <c r="O75" s="15"/>
    </row>
    <row r="76" spans="1:21">
      <c r="A76" s="8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14"/>
      <c r="O76" s="18"/>
    </row>
    <row r="77" spans="1:21">
      <c r="A77" s="8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11"/>
      <c r="O77" s="16"/>
    </row>
    <row r="78" spans="1:21">
      <c r="A78" s="8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11"/>
      <c r="O78" s="15"/>
    </row>
  </sheetData>
  <sheetProtection selectLockedCells="1" selectUnlockedCells="1"/>
  <mergeCells count="6">
    <mergeCell ref="C18:D18"/>
    <mergeCell ref="F18:G18"/>
    <mergeCell ref="I18:J18"/>
    <mergeCell ref="C19:D19"/>
    <mergeCell ref="F19:G19"/>
    <mergeCell ref="I19:J19"/>
  </mergeCells>
  <pageMargins left="0.75" right="0.75" top="0.86111111111111116" bottom="1" header="0.51180555555555551" footer="0.51180555555555551"/>
  <pageSetup paperSize="9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A44"/>
  <sheetViews>
    <sheetView showGridLines="0" workbookViewId="0">
      <selection activeCell="J65" sqref="J65"/>
    </sheetView>
  </sheetViews>
  <sheetFormatPr baseColWidth="10" defaultRowHeight="12.75"/>
  <sheetData>
    <row r="2" spans="1:1">
      <c r="A2" s="5"/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zoomScale="70" zoomScaleNormal="70" workbookViewId="0">
      <selection activeCell="W38" sqref="W38"/>
    </sheetView>
  </sheetViews>
  <sheetFormatPr baseColWidth="10" defaultRowHeight="12.75"/>
  <sheetData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Informe</vt:lpstr>
      <vt:lpstr>Graficos</vt:lpstr>
      <vt:lpstr>Fotos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achaij</dc:creator>
  <cp:lastModifiedBy>scasas</cp:lastModifiedBy>
  <cp:lastPrinted>2024-08-06T11:28:00Z</cp:lastPrinted>
  <dcterms:created xsi:type="dcterms:W3CDTF">2011-03-15T16:59:10Z</dcterms:created>
  <dcterms:modified xsi:type="dcterms:W3CDTF">2025-11-06T12:42:47Z</dcterms:modified>
</cp:coreProperties>
</file>